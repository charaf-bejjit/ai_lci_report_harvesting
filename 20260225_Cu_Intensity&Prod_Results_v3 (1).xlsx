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gm365.sharepoint.com/sites/HE-TDB-ROleofCC/Documents partages/General/WP5/10_Copper (Cu)/9-Intensities/"/>
    </mc:Choice>
  </mc:AlternateContent>
  <xr:revisionPtr revIDLastSave="7" documentId="8_{4364D1C0-BAE0-4B62-9C1B-43AF0A7228AD}" xr6:coauthVersionLast="47" xr6:coauthVersionMax="47" xr10:uidLastSave="{125812F0-B30C-4158-8D07-40659DEA1400}"/>
  <bookViews>
    <workbookView xWindow="-110" yWindow="-110" windowWidth="19420" windowHeight="10300" tabRatio="720" xr2:uid="{26030A6C-34D0-4B2C-ACC4-0523191FA592}"/>
  </bookViews>
  <sheets>
    <sheet name="EnergyIntensity_Cu" sheetId="6" r:id="rId1"/>
    <sheet name="ProductionData_Processed" sheetId="5" r:id="rId2"/>
    <sheet name="EnergyData_Processed" sheetId="3" r:id="rId3"/>
    <sheet name="RawData" sheetId="1" r:id="rId4"/>
    <sheet name="Parameters" sheetId="4" r:id="rId5"/>
  </sheets>
  <definedNames>
    <definedName name="_xlnm._FilterDatabase" localSheetId="2" hidden="1">EnergyData_Processed!$A$1:$H$1</definedName>
    <definedName name="_xlnm._FilterDatabase" localSheetId="0" hidden="1">EnergyIntensity_Cu!$A$1:$J$1</definedName>
    <definedName name="_xlnm._FilterDatabase" localSheetId="1" hidden="1">ProductionData_Processed!$A$1:$L$1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5" l="1"/>
  <c r="I66" i="5"/>
  <c r="I65" i="5"/>
  <c r="I60" i="5"/>
  <c r="D22" i="6"/>
  <c r="D52" i="6"/>
  <c r="I91" i="5"/>
  <c r="I90" i="5"/>
  <c r="E91" i="5"/>
  <c r="E90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G102" i="3"/>
  <c r="G101" i="3"/>
  <c r="F22" i="6" s="1"/>
  <c r="I37" i="5"/>
  <c r="I24" i="5"/>
  <c r="K70" i="5"/>
  <c r="G59" i="3"/>
  <c r="I20" i="5"/>
  <c r="K90" i="5" l="1"/>
  <c r="K91" i="5"/>
  <c r="L91" i="5" s="1"/>
  <c r="F52" i="6"/>
  <c r="L90" i="5" l="1"/>
  <c r="D3" i="6" l="1"/>
  <c r="D4" i="6"/>
  <c r="D5" i="6"/>
  <c r="D6" i="6"/>
  <c r="D7" i="6"/>
  <c r="D8" i="6"/>
  <c r="D9" i="6"/>
  <c r="D10" i="6"/>
  <c r="D11" i="6"/>
  <c r="D12" i="6"/>
  <c r="D13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14" i="6"/>
  <c r="D15" i="6"/>
  <c r="D48" i="6"/>
  <c r="D49" i="6"/>
  <c r="D16" i="6"/>
  <c r="D17" i="6"/>
  <c r="D18" i="6"/>
  <c r="D19" i="6"/>
  <c r="D50" i="6"/>
  <c r="D51" i="6"/>
  <c r="D20" i="6"/>
  <c r="D21" i="6"/>
  <c r="D2" i="6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51" i="6"/>
  <c r="F50" i="6"/>
  <c r="F19" i="6"/>
  <c r="F18" i="6"/>
  <c r="F49" i="6"/>
  <c r="F48" i="6"/>
  <c r="F15" i="6"/>
  <c r="F14" i="6"/>
  <c r="F47" i="6"/>
  <c r="F46" i="6"/>
  <c r="F45" i="6"/>
  <c r="F44" i="6"/>
  <c r="F39" i="6"/>
  <c r="F38" i="6"/>
  <c r="F37" i="6"/>
  <c r="F33" i="6"/>
  <c r="F32" i="6"/>
  <c r="F31" i="6"/>
  <c r="F30" i="6"/>
  <c r="F29" i="6"/>
  <c r="F28" i="6"/>
  <c r="F27" i="6"/>
  <c r="F26" i="6"/>
  <c r="F25" i="6"/>
  <c r="F24" i="6"/>
  <c r="F23" i="6"/>
  <c r="F13" i="6"/>
  <c r="F11" i="6"/>
  <c r="F10" i="6"/>
  <c r="F9" i="6"/>
  <c r="F8" i="6"/>
  <c r="F7" i="6"/>
  <c r="F6" i="6"/>
  <c r="F5" i="6"/>
  <c r="F4" i="6"/>
  <c r="F3" i="6"/>
  <c r="F2" i="6"/>
  <c r="H52" i="6" l="1"/>
  <c r="H22" i="6"/>
  <c r="I22" i="6"/>
  <c r="I52" i="6"/>
  <c r="H50" i="6"/>
  <c r="H36" i="6"/>
  <c r="H16" i="6"/>
  <c r="H49" i="6"/>
  <c r="H43" i="6"/>
  <c r="H39" i="6"/>
  <c r="H13" i="6"/>
  <c r="H48" i="6"/>
  <c r="H20" i="6"/>
  <c r="H51" i="6"/>
  <c r="H32" i="6"/>
  <c r="H21" i="6"/>
  <c r="H41" i="6"/>
  <c r="H17" i="6"/>
  <c r="F16" i="6"/>
  <c r="F17" i="6"/>
  <c r="H40" i="6"/>
  <c r="F20" i="6"/>
  <c r="F21" i="6"/>
  <c r="K67" i="5"/>
  <c r="K66" i="5"/>
  <c r="K65" i="5"/>
  <c r="I64" i="5"/>
  <c r="K64" i="5" s="1"/>
  <c r="I63" i="5"/>
  <c r="K63" i="5" s="1"/>
  <c r="I62" i="5"/>
  <c r="K62" i="5" s="1"/>
  <c r="I61" i="5"/>
  <c r="K61" i="5" s="1"/>
  <c r="K60" i="5"/>
  <c r="I11" i="5"/>
  <c r="K11" i="5" s="1"/>
  <c r="L11" i="5" s="1"/>
  <c r="I13" i="6" s="1"/>
  <c r="I59" i="5"/>
  <c r="K59" i="5" s="1"/>
  <c r="I58" i="5"/>
  <c r="K58" i="5" s="1"/>
  <c r="I57" i="5"/>
  <c r="K57" i="5" s="1"/>
  <c r="I56" i="5"/>
  <c r="K56" i="5" s="1"/>
  <c r="I55" i="5"/>
  <c r="K55" i="5" s="1"/>
  <c r="I54" i="5"/>
  <c r="K54" i="5" s="1"/>
  <c r="I53" i="5"/>
  <c r="K53" i="5" s="1"/>
  <c r="I52" i="5"/>
  <c r="K52" i="5" s="1"/>
  <c r="I51" i="5"/>
  <c r="K51" i="5" s="1"/>
  <c r="I50" i="5"/>
  <c r="K50" i="5" s="1"/>
  <c r="I49" i="5"/>
  <c r="K49" i="5" s="1"/>
  <c r="I48" i="5"/>
  <c r="K48" i="5" s="1"/>
  <c r="I47" i="5"/>
  <c r="K47" i="5" s="1"/>
  <c r="I46" i="5"/>
  <c r="K46" i="5" s="1"/>
  <c r="I10" i="5"/>
  <c r="K10" i="5" s="1"/>
  <c r="I9" i="5"/>
  <c r="K9" i="5" s="1"/>
  <c r="I45" i="5"/>
  <c r="K45" i="5" s="1"/>
  <c r="I44" i="5"/>
  <c r="K44" i="5" s="1"/>
  <c r="I43" i="5"/>
  <c r="K43" i="5" s="1"/>
  <c r="I42" i="5"/>
  <c r="K42" i="5" s="1"/>
  <c r="I41" i="5"/>
  <c r="K41" i="5" s="1"/>
  <c r="I40" i="5"/>
  <c r="K40" i="5" s="1"/>
  <c r="I39" i="5"/>
  <c r="K39" i="5" s="1"/>
  <c r="I38" i="5"/>
  <c r="K38" i="5" s="1"/>
  <c r="K37" i="5"/>
  <c r="I36" i="5"/>
  <c r="K36" i="5" s="1"/>
  <c r="I35" i="5"/>
  <c r="K35" i="5" s="1"/>
  <c r="I34" i="5"/>
  <c r="I8" i="5"/>
  <c r="K8" i="5" s="1"/>
  <c r="L8" i="5" s="1"/>
  <c r="I9" i="6" s="1"/>
  <c r="I89" i="5"/>
  <c r="I88" i="5"/>
  <c r="I87" i="5"/>
  <c r="I86" i="5"/>
  <c r="I7" i="5"/>
  <c r="K7" i="5" s="1"/>
  <c r="I6" i="5"/>
  <c r="K6" i="5" s="1"/>
  <c r="I5" i="5"/>
  <c r="K5" i="5" s="1"/>
  <c r="I4" i="5"/>
  <c r="K4" i="5" s="1"/>
  <c r="I85" i="5"/>
  <c r="I84" i="5"/>
  <c r="I83" i="5"/>
  <c r="I3" i="5"/>
  <c r="I82" i="5"/>
  <c r="I81" i="5"/>
  <c r="I33" i="5"/>
  <c r="K33" i="5" s="1"/>
  <c r="I32" i="5"/>
  <c r="K32" i="5" s="1"/>
  <c r="I31" i="5"/>
  <c r="K31" i="5" s="1"/>
  <c r="I80" i="5"/>
  <c r="I79" i="5"/>
  <c r="I30" i="5"/>
  <c r="K30" i="5" s="1"/>
  <c r="I29" i="5"/>
  <c r="K29" i="5" s="1"/>
  <c r="I28" i="5"/>
  <c r="K28" i="5" s="1"/>
  <c r="I27" i="5"/>
  <c r="K27" i="5" s="1"/>
  <c r="I26" i="5"/>
  <c r="K26" i="5" s="1"/>
  <c r="I25" i="5"/>
  <c r="K25" i="5" s="1"/>
  <c r="K24" i="5"/>
  <c r="I23" i="5"/>
  <c r="K23" i="5" s="1"/>
  <c r="I2" i="5"/>
  <c r="K2" i="5" s="1"/>
  <c r="L2" i="5" s="1"/>
  <c r="I6" i="6" s="1"/>
  <c r="I78" i="5"/>
  <c r="K78" i="5" s="1"/>
  <c r="I77" i="5"/>
  <c r="K77" i="5" s="1"/>
  <c r="I76" i="5"/>
  <c r="K76" i="5" s="1"/>
  <c r="I74" i="5"/>
  <c r="K74" i="5" s="1"/>
  <c r="I73" i="5"/>
  <c r="K73" i="5" s="1"/>
  <c r="K20" i="5"/>
  <c r="I21" i="5"/>
  <c r="I22" i="5"/>
  <c r="K22" i="5" s="1"/>
  <c r="I68" i="5"/>
  <c r="K68" i="5" s="1"/>
  <c r="I69" i="5"/>
  <c r="K69" i="5" s="1"/>
  <c r="I70" i="5"/>
  <c r="I71" i="5"/>
  <c r="K71" i="5" s="1"/>
  <c r="I72" i="5"/>
  <c r="K72" i="5" s="1"/>
  <c r="I19" i="5"/>
  <c r="K19" i="5" s="1"/>
  <c r="I18" i="5"/>
  <c r="K18" i="5" s="1"/>
  <c r="I17" i="5"/>
  <c r="K17" i="5" s="1"/>
  <c r="I16" i="5"/>
  <c r="K16" i="5" s="1"/>
  <c r="I15" i="5"/>
  <c r="K15" i="5" s="1"/>
  <c r="I14" i="5"/>
  <c r="K14" i="5" s="1"/>
  <c r="I13" i="5"/>
  <c r="K13" i="5" s="1"/>
  <c r="I12" i="5"/>
  <c r="K12" i="5" s="1"/>
  <c r="I75" i="5"/>
  <c r="K75" i="5" s="1"/>
  <c r="J52" i="6" l="1"/>
  <c r="K52" i="6" s="1"/>
  <c r="J22" i="6"/>
  <c r="K22" i="6" s="1"/>
  <c r="H33" i="6"/>
  <c r="H42" i="6"/>
  <c r="H27" i="6"/>
  <c r="H38" i="6"/>
  <c r="H26" i="6"/>
  <c r="H28" i="6"/>
  <c r="I8" i="6"/>
  <c r="H12" i="6"/>
  <c r="H19" i="6"/>
  <c r="I12" i="6"/>
  <c r="H23" i="6"/>
  <c r="H15" i="6"/>
  <c r="H7" i="6"/>
  <c r="H46" i="6"/>
  <c r="H6" i="6"/>
  <c r="J6" i="6" s="1"/>
  <c r="H30" i="6"/>
  <c r="I7" i="6"/>
  <c r="K34" i="5"/>
  <c r="L35" i="5" s="1"/>
  <c r="H29" i="6"/>
  <c r="H14" i="6"/>
  <c r="H9" i="6"/>
  <c r="J9" i="6" s="1"/>
  <c r="H2" i="6"/>
  <c r="H45" i="6"/>
  <c r="H31" i="6"/>
  <c r="H4" i="6"/>
  <c r="H3" i="6"/>
  <c r="H35" i="6"/>
  <c r="H47" i="6"/>
  <c r="H5" i="6"/>
  <c r="H25" i="6"/>
  <c r="K3" i="5"/>
  <c r="L3" i="5" s="1"/>
  <c r="H10" i="6"/>
  <c r="H8" i="6"/>
  <c r="H34" i="6"/>
  <c r="H18" i="6"/>
  <c r="H44" i="6"/>
  <c r="H37" i="6"/>
  <c r="H24" i="6"/>
  <c r="H11" i="6"/>
  <c r="J13" i="6"/>
  <c r="L9" i="5"/>
  <c r="L60" i="5"/>
  <c r="L19" i="5"/>
  <c r="I39" i="6" s="1"/>
  <c r="J39" i="6" s="1"/>
  <c r="K39" i="6" s="1"/>
  <c r="L32" i="5"/>
  <c r="L40" i="5"/>
  <c r="L65" i="5"/>
  <c r="L6" i="5"/>
  <c r="L56" i="5"/>
  <c r="L29" i="5"/>
  <c r="L15" i="5"/>
  <c r="L77" i="5"/>
  <c r="L36" i="5"/>
  <c r="L66" i="5"/>
  <c r="L22" i="5"/>
  <c r="L24" i="5"/>
  <c r="L54" i="5"/>
  <c r="L74" i="5"/>
  <c r="L48" i="5"/>
  <c r="L69" i="5"/>
  <c r="L45" i="5"/>
  <c r="L13" i="5"/>
  <c r="L73" i="5"/>
  <c r="L30" i="5"/>
  <c r="L49" i="5"/>
  <c r="L70" i="5"/>
  <c r="L71" i="5"/>
  <c r="L72" i="5"/>
  <c r="L20" i="5"/>
  <c r="L37" i="5"/>
  <c r="L46" i="5"/>
  <c r="L38" i="5"/>
  <c r="L47" i="5"/>
  <c r="L16" i="5"/>
  <c r="L55" i="5"/>
  <c r="L57" i="5"/>
  <c r="L76" i="5"/>
  <c r="L58" i="5"/>
  <c r="L68" i="5"/>
  <c r="L59" i="5"/>
  <c r="L39" i="5"/>
  <c r="L25" i="5"/>
  <c r="L10" i="5"/>
  <c r="L62" i="5"/>
  <c r="L28" i="5"/>
  <c r="L17" i="5"/>
  <c r="L61" i="5"/>
  <c r="L18" i="5"/>
  <c r="L78" i="5"/>
  <c r="L41" i="5"/>
  <c r="L51" i="5"/>
  <c r="L63" i="5"/>
  <c r="L44" i="5"/>
  <c r="L7" i="5"/>
  <c r="L75" i="5"/>
  <c r="L33" i="5"/>
  <c r="L31" i="5"/>
  <c r="L50" i="5"/>
  <c r="L12" i="5"/>
  <c r="L4" i="5"/>
  <c r="L42" i="5"/>
  <c r="L52" i="5"/>
  <c r="L64" i="5"/>
  <c r="L67" i="5"/>
  <c r="L27" i="5"/>
  <c r="L26" i="5"/>
  <c r="L23" i="5"/>
  <c r="I36" i="6" s="1"/>
  <c r="L14" i="5"/>
  <c r="L5" i="5"/>
  <c r="L43" i="5"/>
  <c r="L53" i="5"/>
  <c r="G39" i="3"/>
  <c r="G41" i="3"/>
  <c r="G42" i="3"/>
  <c r="G43" i="3"/>
  <c r="G44" i="3"/>
  <c r="G40" i="3"/>
  <c r="G64" i="3"/>
  <c r="F42" i="6" s="1"/>
  <c r="G63" i="3"/>
  <c r="F43" i="6" s="1"/>
  <c r="G28" i="3"/>
  <c r="H27" i="3"/>
  <c r="G27" i="3"/>
  <c r="G24" i="3"/>
  <c r="G23" i="3"/>
  <c r="G22" i="3"/>
  <c r="F12" i="6" s="1"/>
  <c r="G46" i="3"/>
  <c r="F34" i="6" s="1"/>
  <c r="G45" i="3"/>
  <c r="F35" i="6" s="1"/>
  <c r="G7" i="3"/>
  <c r="H7" i="3"/>
  <c r="G61" i="3"/>
  <c r="H61" i="3"/>
  <c r="G62" i="3"/>
  <c r="H62" i="3"/>
  <c r="G56" i="3"/>
  <c r="H56" i="3"/>
  <c r="G57" i="3"/>
  <c r="H57" i="3"/>
  <c r="H6" i="3"/>
  <c r="G6" i="3"/>
  <c r="G26" i="3"/>
  <c r="G29" i="3"/>
  <c r="G30" i="3"/>
  <c r="G31" i="3"/>
  <c r="G32" i="3"/>
  <c r="G37" i="3"/>
  <c r="G38" i="3"/>
  <c r="G25" i="3"/>
  <c r="G71" i="3"/>
  <c r="G72" i="3"/>
  <c r="G73" i="3"/>
  <c r="G74" i="3"/>
  <c r="G47" i="3"/>
  <c r="G48" i="3"/>
  <c r="G49" i="3"/>
  <c r="G50" i="3"/>
  <c r="G51" i="3"/>
  <c r="G52" i="3"/>
  <c r="G89" i="3"/>
  <c r="G90" i="3"/>
  <c r="G91" i="3"/>
  <c r="G92" i="3"/>
  <c r="G93" i="3"/>
  <c r="G16" i="3"/>
  <c r="G17" i="3"/>
  <c r="G18" i="3"/>
  <c r="G19" i="3"/>
  <c r="G20" i="3"/>
  <c r="G21" i="3"/>
  <c r="G75" i="3"/>
  <c r="G76" i="3"/>
  <c r="G77" i="3"/>
  <c r="G2" i="3"/>
  <c r="G3" i="3"/>
  <c r="G4" i="3"/>
  <c r="G5" i="3"/>
  <c r="G78" i="3"/>
  <c r="G79" i="3"/>
  <c r="G80" i="3"/>
  <c r="G81" i="3"/>
  <c r="G82" i="3"/>
  <c r="G96" i="3"/>
  <c r="G97" i="3"/>
  <c r="G98" i="3"/>
  <c r="G99" i="3"/>
  <c r="G100" i="3"/>
  <c r="G12" i="3"/>
  <c r="G13" i="3"/>
  <c r="G14" i="3"/>
  <c r="G15" i="3"/>
  <c r="G70" i="3"/>
  <c r="G34" i="3"/>
  <c r="H34" i="3"/>
  <c r="G35" i="3"/>
  <c r="H35" i="3"/>
  <c r="G36" i="3"/>
  <c r="H36" i="3"/>
  <c r="G67" i="3"/>
  <c r="H67" i="3"/>
  <c r="G68" i="3"/>
  <c r="H68" i="3"/>
  <c r="G69" i="3"/>
  <c r="H69" i="3"/>
  <c r="H33" i="3"/>
  <c r="G33" i="3"/>
  <c r="G55" i="3"/>
  <c r="F36" i="6" s="1"/>
  <c r="G95" i="3"/>
  <c r="H95" i="3"/>
  <c r="G85" i="3"/>
  <c r="H85" i="3"/>
  <c r="G86" i="3"/>
  <c r="H86" i="3"/>
  <c r="G87" i="3"/>
  <c r="H87" i="3"/>
  <c r="G88" i="3"/>
  <c r="H88" i="3"/>
  <c r="G83" i="3"/>
  <c r="H83" i="3"/>
  <c r="G84" i="3"/>
  <c r="H84" i="3"/>
  <c r="G8" i="3"/>
  <c r="H8" i="3"/>
  <c r="G9" i="3"/>
  <c r="H9" i="3"/>
  <c r="G10" i="3"/>
  <c r="H10" i="3"/>
  <c r="G11" i="3"/>
  <c r="H11" i="3"/>
  <c r="H94" i="3"/>
  <c r="G94" i="3"/>
  <c r="G60" i="3"/>
  <c r="F40" i="6" s="1"/>
  <c r="G66" i="3"/>
  <c r="H66" i="3"/>
  <c r="G53" i="3"/>
  <c r="H53" i="3"/>
  <c r="G54" i="3"/>
  <c r="H54" i="3"/>
  <c r="G58" i="3"/>
  <c r="H58" i="3"/>
  <c r="F41" i="6"/>
  <c r="H65" i="3"/>
  <c r="G65" i="3"/>
  <c r="J36" i="6" l="1"/>
  <c r="K36" i="6" s="1"/>
  <c r="J8" i="6"/>
  <c r="K8" i="6" s="1"/>
  <c r="J12" i="6"/>
  <c r="K12" i="6" s="1"/>
  <c r="L34" i="5"/>
  <c r="J7" i="6"/>
  <c r="K6" i="6" s="1"/>
  <c r="I30" i="6"/>
  <c r="J30" i="6" s="1"/>
  <c r="I31" i="6"/>
  <c r="J31" i="6" s="1"/>
  <c r="I45" i="6"/>
  <c r="J45" i="6" s="1"/>
  <c r="I44" i="6"/>
  <c r="J44" i="6" s="1"/>
  <c r="K44" i="6" s="1"/>
  <c r="I33" i="6"/>
  <c r="J33" i="6" s="1"/>
  <c r="I32" i="6"/>
  <c r="J32" i="6" s="1"/>
  <c r="I35" i="6"/>
  <c r="J35" i="6" s="1"/>
  <c r="I34" i="6"/>
  <c r="J34" i="6" s="1"/>
  <c r="I28" i="6"/>
  <c r="J28" i="6" s="1"/>
  <c r="I29" i="6"/>
  <c r="J29" i="6" s="1"/>
  <c r="I40" i="6"/>
  <c r="J40" i="6" s="1"/>
  <c r="I41" i="6"/>
  <c r="J41" i="6" s="1"/>
  <c r="I47" i="6"/>
  <c r="J47" i="6" s="1"/>
  <c r="I46" i="6"/>
  <c r="J46" i="6" s="1"/>
  <c r="K46" i="6" s="1"/>
  <c r="I26" i="6"/>
  <c r="J26" i="6" s="1"/>
  <c r="I27" i="6"/>
  <c r="J27" i="6" s="1"/>
  <c r="I49" i="6"/>
  <c r="J49" i="6" s="1"/>
  <c r="I48" i="6"/>
  <c r="J48" i="6" s="1"/>
  <c r="I10" i="6"/>
  <c r="J10" i="6" s="1"/>
  <c r="I11" i="6"/>
  <c r="J11" i="6" s="1"/>
  <c r="I43" i="6"/>
  <c r="J43" i="6" s="1"/>
  <c r="I42" i="6"/>
  <c r="J42" i="6" s="1"/>
  <c r="I16" i="6"/>
  <c r="J16" i="6" s="1"/>
  <c r="I17" i="6"/>
  <c r="J17" i="6" s="1"/>
  <c r="I23" i="6"/>
  <c r="J23" i="6" s="1"/>
  <c r="I38" i="6"/>
  <c r="J38" i="6" s="1"/>
  <c r="I37" i="6"/>
  <c r="J37" i="6" s="1"/>
  <c r="I25" i="6"/>
  <c r="J25" i="6" s="1"/>
  <c r="I24" i="6"/>
  <c r="J24" i="6" s="1"/>
  <c r="I19" i="6"/>
  <c r="J19" i="6" s="1"/>
  <c r="I18" i="6"/>
  <c r="J18" i="6" s="1"/>
  <c r="I14" i="6"/>
  <c r="J14" i="6" s="1"/>
  <c r="I15" i="6"/>
  <c r="J15" i="6" s="1"/>
  <c r="I21" i="6"/>
  <c r="J21" i="6" s="1"/>
  <c r="I20" i="6"/>
  <c r="J20" i="6" s="1"/>
  <c r="I51" i="6"/>
  <c r="J51" i="6" s="1"/>
  <c r="I50" i="6"/>
  <c r="J50" i="6" s="1"/>
  <c r="K50" i="6" s="1"/>
  <c r="I5" i="6"/>
  <c r="J5" i="6" s="1"/>
  <c r="I4" i="6"/>
  <c r="J4" i="6" s="1"/>
  <c r="K4" i="6" s="1"/>
  <c r="I3" i="6"/>
  <c r="J3" i="6" s="1"/>
  <c r="I2" i="6"/>
  <c r="J2" i="6" s="1"/>
  <c r="K37" i="6" l="1"/>
  <c r="K20" i="6"/>
  <c r="M3" i="6"/>
  <c r="K42" i="6"/>
  <c r="M23" i="6"/>
  <c r="K10" i="6"/>
  <c r="K26" i="6"/>
  <c r="K16" i="6"/>
  <c r="K40" i="6"/>
  <c r="K14" i="6"/>
  <c r="K28" i="6"/>
  <c r="K18" i="6"/>
  <c r="K23" i="6"/>
  <c r="K30" i="6"/>
  <c r="M2" i="6"/>
  <c r="K2" i="6"/>
  <c r="K24" i="6"/>
  <c r="K48" i="6"/>
  <c r="K32" i="6"/>
  <c r="K34" i="6"/>
  <c r="L2" i="6" l="1"/>
  <c r="L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tc={7B4F0525-F640-485A-9399-C9688974FB60}</author>
  </authors>
  <commentList>
    <comment ref="F79" authorId="0" shapeId="0" xr:uid="{7B4F0525-F640-485A-9399-C9688974FB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 data about distribution between concentrate and cathode in the production</t>
      </text>
    </comment>
  </commentList>
</comments>
</file>

<file path=xl/sharedStrings.xml><?xml version="1.0" encoding="utf-8"?>
<sst xmlns="http://schemas.openxmlformats.org/spreadsheetml/2006/main" count="2617" uniqueCount="394">
  <si>
    <t>Company</t>
  </si>
  <si>
    <t>Production site</t>
  </si>
  <si>
    <t>Metric</t>
  </si>
  <si>
    <t>Unit</t>
  </si>
  <si>
    <t>Aeris</t>
  </si>
  <si>
    <t>Tritton</t>
  </si>
  <si>
    <t>Diesel consumption</t>
  </si>
  <si>
    <t>Value</t>
  </si>
  <si>
    <t>338743</t>
  </si>
  <si>
    <t>GJ</t>
  </si>
  <si>
    <t>Electricity consumption</t>
  </si>
  <si>
    <t>302270</t>
  </si>
  <si>
    <t>Cu concentrate</t>
  </si>
  <si>
    <t>Type of metric</t>
  </si>
  <si>
    <t>Energy</t>
  </si>
  <si>
    <t>Production</t>
  </si>
  <si>
    <t>19700</t>
  </si>
  <si>
    <t>t</t>
  </si>
  <si>
    <t>Silver prod</t>
  </si>
  <si>
    <t>156 000</t>
  </si>
  <si>
    <t>oz</t>
  </si>
  <si>
    <t>Gold produced</t>
  </si>
  <si>
    <t>4899</t>
  </si>
  <si>
    <t>Jaguar</t>
  </si>
  <si>
    <t>22534</t>
  </si>
  <si>
    <t>Natural Gas consumption</t>
  </si>
  <si>
    <t>194788</t>
  </si>
  <si>
    <t>Copper Produced</t>
  </si>
  <si>
    <t>0.6</t>
  </si>
  <si>
    <t>kt</t>
  </si>
  <si>
    <t>Zinc Produced</t>
  </si>
  <si>
    <t>3.1</t>
  </si>
  <si>
    <t>Gold Produced</t>
  </si>
  <si>
    <t>0.4</t>
  </si>
  <si>
    <t>koz</t>
  </si>
  <si>
    <t>Silver Produced</t>
  </si>
  <si>
    <t>84</t>
  </si>
  <si>
    <t>North Queensland</t>
  </si>
  <si>
    <t>131511</t>
  </si>
  <si>
    <t>Copper production</t>
  </si>
  <si>
    <t>Gold production</t>
  </si>
  <si>
    <t>Atalaya Mining</t>
  </si>
  <si>
    <t>Riotinto</t>
  </si>
  <si>
    <t>Total energy of fuel consumption</t>
  </si>
  <si>
    <t>Total electricity consumption within the organisation</t>
  </si>
  <si>
    <t>367828225</t>
  </si>
  <si>
    <t>Kwh</t>
  </si>
  <si>
    <t>Riotinto Processing Plant, Copper concentrate</t>
  </si>
  <si>
    <t>Riotinto Processing Plant, Copper contained in concentrate</t>
  </si>
  <si>
    <t>249321</t>
  </si>
  <si>
    <t>Capstone</t>
  </si>
  <si>
    <t>Pinto Valley</t>
  </si>
  <si>
    <t>Fuel</t>
  </si>
  <si>
    <t>Electricity</t>
  </si>
  <si>
    <t>1430653</t>
  </si>
  <si>
    <t>1201840</t>
  </si>
  <si>
    <t>Copper Concentrate Produced-2022</t>
  </si>
  <si>
    <t>Copper Cathode Produced-2022</t>
  </si>
  <si>
    <t>Molybdenum production 2022</t>
  </si>
  <si>
    <t>tonnes</t>
  </si>
  <si>
    <t>54222</t>
  </si>
  <si>
    <t>2622</t>
  </si>
  <si>
    <t>Mantos Blancos</t>
  </si>
  <si>
    <t>1859277</t>
  </si>
  <si>
    <t>863004</t>
  </si>
  <si>
    <t>34961</t>
  </si>
  <si>
    <t>15697</t>
  </si>
  <si>
    <t>Silver production-2022</t>
  </si>
  <si>
    <t>2101672</t>
  </si>
  <si>
    <t>691918</t>
  </si>
  <si>
    <t>Mantoverde</t>
  </si>
  <si>
    <t>Gold production -2024</t>
  </si>
  <si>
    <t>Cozamin</t>
  </si>
  <si>
    <t>167855</t>
  </si>
  <si>
    <t>228707</t>
  </si>
  <si>
    <t>24451</t>
  </si>
  <si>
    <t xml:space="preserve">Zinc production </t>
  </si>
  <si>
    <t xml:space="preserve">Silver production </t>
  </si>
  <si>
    <t>1 376 000</t>
  </si>
  <si>
    <t>OZ</t>
  </si>
  <si>
    <t>Central Asia Metals</t>
  </si>
  <si>
    <t>Kounrad</t>
  </si>
  <si>
    <t>Coal</t>
  </si>
  <si>
    <t>Diesel/petroleum</t>
  </si>
  <si>
    <t>Electricity from renewables</t>
  </si>
  <si>
    <t>Electricity from non-renewables</t>
  </si>
  <si>
    <t>247160</t>
  </si>
  <si>
    <t>14316</t>
  </si>
  <si>
    <t>2553</t>
  </si>
  <si>
    <t>209820</t>
  </si>
  <si>
    <t>Copper cathode production</t>
  </si>
  <si>
    <t>China Gold International</t>
  </si>
  <si>
    <t>Jiama</t>
  </si>
  <si>
    <t>Actual power consumption</t>
  </si>
  <si>
    <t>197750000</t>
  </si>
  <si>
    <t>kWh</t>
  </si>
  <si>
    <t xml:space="preserve">Gold production </t>
  </si>
  <si>
    <t xml:space="preserve">Mo production </t>
  </si>
  <si>
    <t>20 051</t>
  </si>
  <si>
    <t>19 203</t>
  </si>
  <si>
    <t>Zinc prod-2021</t>
  </si>
  <si>
    <t>Lead prod-2021</t>
  </si>
  <si>
    <t>Silver prod-2023</t>
  </si>
  <si>
    <t>3 169 403</t>
  </si>
  <si>
    <t>Ero Copper</t>
  </si>
  <si>
    <t>Caraíba</t>
  </si>
  <si>
    <t>Diesel</t>
  </si>
  <si>
    <t>Gasoline</t>
  </si>
  <si>
    <t>Liquified petroleum gas LPG</t>
  </si>
  <si>
    <t>530762</t>
  </si>
  <si>
    <t>4644</t>
  </si>
  <si>
    <t>637</t>
  </si>
  <si>
    <t>863526</t>
  </si>
  <si>
    <t>Copper Production</t>
  </si>
  <si>
    <t>43857</t>
  </si>
  <si>
    <t>Tucuma</t>
  </si>
  <si>
    <t>186770</t>
  </si>
  <si>
    <t>1403</t>
  </si>
  <si>
    <t>1681</t>
  </si>
  <si>
    <t>Copper, production -2024</t>
  </si>
  <si>
    <t>Freeport</t>
  </si>
  <si>
    <t>Bagdad</t>
  </si>
  <si>
    <t>Indirect Energy Total</t>
  </si>
  <si>
    <t>DIESEL consumption</t>
  </si>
  <si>
    <t>GASOLINE consumption</t>
  </si>
  <si>
    <t>NATURAL GAS consumption</t>
  </si>
  <si>
    <t>PROPANE /LPG consumption</t>
  </si>
  <si>
    <t>2044</t>
  </si>
  <si>
    <t>TERAJOULES</t>
  </si>
  <si>
    <t>2187.7</t>
  </si>
  <si>
    <t>33.6</t>
  </si>
  <si>
    <t>71.8</t>
  </si>
  <si>
    <t>0.8</t>
  </si>
  <si>
    <t>Copper production-2023</t>
  </si>
  <si>
    <t>66 224   </t>
  </si>
  <si>
    <t>molybdenum coproduct</t>
  </si>
  <si>
    <t>4 536</t>
  </si>
  <si>
    <t>Grasberg</t>
  </si>
  <si>
    <t>COAL/COKE consumption</t>
  </si>
  <si>
    <t>B30 BIODIESEL consumption</t>
  </si>
  <si>
    <t>AVIATION FUEL consumption</t>
  </si>
  <si>
    <t>USED OIL consumption</t>
  </si>
  <si>
    <t>17725.4</t>
  </si>
  <si>
    <t>8020.9</t>
  </si>
  <si>
    <t>4107.0</t>
  </si>
  <si>
    <t>36.9</t>
  </si>
  <si>
    <t>239.7</t>
  </si>
  <si>
    <t>109.3</t>
  </si>
  <si>
    <t>Gold production-2023</t>
  </si>
  <si>
    <t>752 963</t>
  </si>
  <si>
    <t>1 978 000</t>
  </si>
  <si>
    <t>Silver production -2023</t>
  </si>
  <si>
    <t>Morenci</t>
  </si>
  <si>
    <t>8492</t>
  </si>
  <si>
    <t>7075.0</t>
  </si>
  <si>
    <t>165.6</t>
  </si>
  <si>
    <t>921.5</t>
  </si>
  <si>
    <t>1.0</t>
  </si>
  <si>
    <t>copper production-2023</t>
  </si>
  <si>
    <t>362 244</t>
  </si>
  <si>
    <t>Molybdenum-2022</t>
  </si>
  <si>
    <t>B20 BIODIESEL consumption</t>
  </si>
  <si>
    <t>764</t>
  </si>
  <si>
    <t>584.0</t>
  </si>
  <si>
    <t>7.5</t>
  </si>
  <si>
    <t>18.3</t>
  </si>
  <si>
    <t>21.1</t>
  </si>
  <si>
    <t>2.7</t>
  </si>
  <si>
    <t>Tyrone</t>
  </si>
  <si>
    <t>23 133</t>
  </si>
  <si>
    <t>B5 BIODIESEL consumption</t>
  </si>
  <si>
    <t>13390</t>
  </si>
  <si>
    <t>9146.7</t>
  </si>
  <si>
    <t>Molybdenum production</t>
  </si>
  <si>
    <t>Silver production</t>
  </si>
  <si>
    <t>447 035</t>
  </si>
  <si>
    <t>9 874</t>
  </si>
  <si>
    <t>4 076 615</t>
  </si>
  <si>
    <t>Cerro Verde</t>
  </si>
  <si>
    <t>2398</t>
  </si>
  <si>
    <t>1110.6</t>
  </si>
  <si>
    <t>5.8</t>
  </si>
  <si>
    <t>4.2</t>
  </si>
  <si>
    <t>98 429</t>
  </si>
  <si>
    <t>Mo production</t>
  </si>
  <si>
    <t>El Abra</t>
  </si>
  <si>
    <t>Chino</t>
  </si>
  <si>
    <t>1172</t>
  </si>
  <si>
    <t>1042.9</t>
  </si>
  <si>
    <t>30.7</t>
  </si>
  <si>
    <t>873.3</t>
  </si>
  <si>
    <t>3.6</t>
  </si>
  <si>
    <t>63 956</t>
  </si>
  <si>
    <t>tonne</t>
  </si>
  <si>
    <t>Sierrita</t>
  </si>
  <si>
    <t>2413</t>
  </si>
  <si>
    <t>1675.0</t>
  </si>
  <si>
    <t>37.6</t>
  </si>
  <si>
    <t>209.6</t>
  </si>
  <si>
    <t>4.9</t>
  </si>
  <si>
    <t>Mo Production</t>
  </si>
  <si>
    <t>83 915</t>
  </si>
  <si>
    <t>8 165</t>
  </si>
  <si>
    <t>57 800 000</t>
  </si>
  <si>
    <t>Safford</t>
  </si>
  <si>
    <t>1392</t>
  </si>
  <si>
    <t>2857.1</t>
  </si>
  <si>
    <t>59.9</t>
  </si>
  <si>
    <t>28.2</t>
  </si>
  <si>
    <t>111 130</t>
  </si>
  <si>
    <t>KAZ Minerals</t>
  </si>
  <si>
    <t>Aktogay</t>
  </si>
  <si>
    <t>1.43</t>
  </si>
  <si>
    <t>PJ</t>
  </si>
  <si>
    <t>7.02</t>
  </si>
  <si>
    <t xml:space="preserve">Copper production </t>
  </si>
  <si>
    <t xml:space="preserve">kt </t>
  </si>
  <si>
    <t>1.45</t>
  </si>
  <si>
    <t>3.85</t>
  </si>
  <si>
    <t>Molybdenum production 2020</t>
  </si>
  <si>
    <t>818 000</t>
  </si>
  <si>
    <t>Bozshakol</t>
  </si>
  <si>
    <t>0.14</t>
  </si>
  <si>
    <t>0.18</t>
  </si>
  <si>
    <t xml:space="preserve">Gold Production </t>
  </si>
  <si>
    <t>Bozymchak</t>
  </si>
  <si>
    <t>East Region Operations</t>
  </si>
  <si>
    <t>0.26</t>
  </si>
  <si>
    <t>1.49</t>
  </si>
  <si>
    <t>Zinc in concentrates</t>
  </si>
  <si>
    <t>1.4</t>
  </si>
  <si>
    <t>Moz</t>
  </si>
  <si>
    <t>MMG</t>
  </si>
  <si>
    <t>Kinsevere</t>
  </si>
  <si>
    <t>Direct energy consumption</t>
  </si>
  <si>
    <t>Indirect energy consumption</t>
  </si>
  <si>
    <t>1160907</t>
  </si>
  <si>
    <t>503140</t>
  </si>
  <si>
    <t>Cobalt produced</t>
  </si>
  <si>
    <t>Copper cathode produced</t>
  </si>
  <si>
    <t>105</t>
  </si>
  <si>
    <t>44068</t>
  </si>
  <si>
    <t>Rosebery</t>
  </si>
  <si>
    <t>234996</t>
  </si>
  <si>
    <t>543921</t>
  </si>
  <si>
    <t>Zinc in zinc concentrate</t>
  </si>
  <si>
    <t>Lead in lead concentrate</t>
  </si>
  <si>
    <t>Copper in precious metals concentrate</t>
  </si>
  <si>
    <t>51626</t>
  </si>
  <si>
    <t>19147</t>
  </si>
  <si>
    <t>1163</t>
  </si>
  <si>
    <t>30096</t>
  </si>
  <si>
    <t>ounces</t>
  </si>
  <si>
    <t>2583418</t>
  </si>
  <si>
    <t>Las Bambas</t>
  </si>
  <si>
    <t>Indirect energy consumption (Elec)</t>
  </si>
  <si>
    <t>Payable metal in products sold - Gold</t>
  </si>
  <si>
    <t>Payable metal in products sold - Silver</t>
  </si>
  <si>
    <t>Payable metal in products sold - Molybdenum</t>
  </si>
  <si>
    <t>94925</t>
  </si>
  <si>
    <t>5361326</t>
  </si>
  <si>
    <t>4037</t>
  </si>
  <si>
    <t>7184943</t>
  </si>
  <si>
    <t>4719188</t>
  </si>
  <si>
    <t>29Metals</t>
  </si>
  <si>
    <t>Golden Grove</t>
  </si>
  <si>
    <t>8851</t>
  </si>
  <si>
    <t>Kilolitres</t>
  </si>
  <si>
    <t>Electricity purchased from grid</t>
  </si>
  <si>
    <t>157574580</t>
  </si>
  <si>
    <t>Kilowatt hours</t>
  </si>
  <si>
    <t>Copper, produced-2023</t>
  </si>
  <si>
    <t>Zinc production</t>
  </si>
  <si>
    <t xml:space="preserve">Lead production </t>
  </si>
  <si>
    <t>18 096</t>
  </si>
  <si>
    <t>51 500</t>
  </si>
  <si>
    <t>774 896</t>
  </si>
  <si>
    <t>1 167</t>
  </si>
  <si>
    <t>PT Merdeka</t>
  </si>
  <si>
    <t>Wetar</t>
  </si>
  <si>
    <t>62928340</t>
  </si>
  <si>
    <t>696.72</t>
  </si>
  <si>
    <t>gigaJoule</t>
  </si>
  <si>
    <t>Diesel B30</t>
  </si>
  <si>
    <t>553955.97</t>
  </si>
  <si>
    <t>tons</t>
  </si>
  <si>
    <t>PT Amman</t>
  </si>
  <si>
    <t>Batu Hijau</t>
  </si>
  <si>
    <t>Energy Consumption</t>
  </si>
  <si>
    <t>35% of B35Biodiesel consumption</t>
  </si>
  <si>
    <t>20950747</t>
  </si>
  <si>
    <t>Gigajoules (GJ)</t>
  </si>
  <si>
    <t xml:space="preserve">copper production </t>
  </si>
  <si>
    <t>463 500</t>
  </si>
  <si>
    <t>Sierra Gorda</t>
  </si>
  <si>
    <t>Total annual volume of diesel consumption</t>
  </si>
  <si>
    <t>Total electricity consumption</t>
  </si>
  <si>
    <t>109060.79</t>
  </si>
  <si>
    <t>cubic meters</t>
  </si>
  <si>
    <t>1163067646</t>
  </si>
  <si>
    <t>KWh</t>
  </si>
  <si>
    <t>Gold production-2018</t>
  </si>
  <si>
    <t>42 100</t>
  </si>
  <si>
    <t>Taseko Mines</t>
  </si>
  <si>
    <t>Gibraltar</t>
  </si>
  <si>
    <t>Grid Electricity Consumption</t>
  </si>
  <si>
    <t>Natural Gas Consumption</t>
  </si>
  <si>
    <t>Gasoline Consumption</t>
  </si>
  <si>
    <t>Propane Consumption</t>
  </si>
  <si>
    <t>Diesel Consumption</t>
  </si>
  <si>
    <t>1695665</t>
  </si>
  <si>
    <t>186977</t>
  </si>
  <si>
    <t>38791</t>
  </si>
  <si>
    <t>453</t>
  </si>
  <si>
    <t>1683653</t>
  </si>
  <si>
    <t>copper production</t>
  </si>
  <si>
    <t>molybdenum production</t>
  </si>
  <si>
    <t>Main product</t>
  </si>
  <si>
    <t>Cu concentrate &amp; cathode</t>
  </si>
  <si>
    <t>Cu cathode</t>
  </si>
  <si>
    <t>Initial value</t>
  </si>
  <si>
    <t>Initial unit</t>
  </si>
  <si>
    <t>Conversion factors</t>
  </si>
  <si>
    <t>Modified value</t>
  </si>
  <si>
    <t>Modified unit</t>
  </si>
  <si>
    <t>MJ</t>
  </si>
  <si>
    <t>General</t>
  </si>
  <si>
    <t>L</t>
  </si>
  <si>
    <t>Source</t>
  </si>
  <si>
    <t>m3</t>
  </si>
  <si>
    <t>https://www.engineeringtoolbox.com/fuels-densities-specific-volumes-d_166.html</t>
  </si>
  <si>
    <t>kg</t>
  </si>
  <si>
    <t>https://kerone.com/pdf/calorific-value-of-higher-and-lower-heating.pdf</t>
  </si>
  <si>
    <t>Heat consumption</t>
  </si>
  <si>
    <t>Prices</t>
  </si>
  <si>
    <t>$/t Cu content</t>
  </si>
  <si>
    <t>https://www.metal.com/Copper/202507310001</t>
  </si>
  <si>
    <t>https://www.metal.com/Copper/201102250170</t>
  </si>
  <si>
    <t>Au concentrate</t>
  </si>
  <si>
    <t>$/t Au content</t>
  </si>
  <si>
    <t>Estimation based on Au metal price</t>
  </si>
  <si>
    <t>Ag concentrate</t>
  </si>
  <si>
    <t>$/t Ag content</t>
  </si>
  <si>
    <t>Estimation based on Ag metal price</t>
  </si>
  <si>
    <t>Au metal</t>
  </si>
  <si>
    <t>https://www.metal.com/Gold/201102250531</t>
  </si>
  <si>
    <t>Ag metal</t>
  </si>
  <si>
    <t>https://www.metal.com/Silver/201102250524</t>
  </si>
  <si>
    <t>Zn concentrate</t>
  </si>
  <si>
    <t>$/t Zn content</t>
  </si>
  <si>
    <t>https://www.metal.com/Zinc/201312030008</t>
  </si>
  <si>
    <t>Zn metal</t>
  </si>
  <si>
    <t>https://www.metal.com/Zinc/201102250173</t>
  </si>
  <si>
    <t>Pb concentrate</t>
  </si>
  <si>
    <t>$/t Pb content</t>
  </si>
  <si>
    <t>https://www.metal.com/Lead/201312030006</t>
  </si>
  <si>
    <t>Pb metal</t>
  </si>
  <si>
    <t>https://www.metal.com/Lead/201102250211</t>
  </si>
  <si>
    <t>Mo concentrate</t>
  </si>
  <si>
    <t>Mo metal</t>
  </si>
  <si>
    <t>$/t Mo content</t>
  </si>
  <si>
    <t>https://www.metal.com/Other-Minor-Metals/201102250481</t>
  </si>
  <si>
    <t>https://www.metal.com/Other-Minor-Metals/202107140001</t>
  </si>
  <si>
    <t>Value ($/t)</t>
  </si>
  <si>
    <t>Co concentrate</t>
  </si>
  <si>
    <t>$/t Co content</t>
  </si>
  <si>
    <t>Co metal</t>
  </si>
  <si>
    <t>https://www.metal.com/Cobalt/202407300001</t>
  </si>
  <si>
    <t>https://www.metal.com/Cobalt/201102250375</t>
  </si>
  <si>
    <t>NA</t>
  </si>
  <si>
    <t>Allocation factors (%)</t>
  </si>
  <si>
    <t>Total Value</t>
  </si>
  <si>
    <t>Fuel consumption</t>
  </si>
  <si>
    <t>Total energy consumption</t>
  </si>
  <si>
    <t>Products</t>
  </si>
  <si>
    <t>Key</t>
  </si>
  <si>
    <t>Annual Cu production (t)</t>
  </si>
  <si>
    <t>Allocation factors Cu (%)</t>
  </si>
  <si>
    <t>Energy intensity (GJ/t Cu)</t>
  </si>
  <si>
    <t>Copper in concentrate produced</t>
  </si>
  <si>
    <t>Minsur</t>
  </si>
  <si>
    <t xml:space="preserve">Mina Justa </t>
  </si>
  <si>
    <t>MWh</t>
  </si>
  <si>
    <t>LPG</t>
  </si>
  <si>
    <t>Production (concentrate)</t>
  </si>
  <si>
    <t>Production (copper cathodes)</t>
  </si>
  <si>
    <t>lb</t>
  </si>
  <si>
    <t>pounds</t>
  </si>
  <si>
    <t>Copper concentrate production</t>
  </si>
  <si>
    <t>Mlb</t>
  </si>
  <si>
    <t>Agg</t>
  </si>
  <si>
    <t>Moyenne energy</t>
  </si>
  <si>
    <t>Moyenne elec/fuel</t>
  </si>
  <si>
    <t>Electricity and fuel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</si>
</sst>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" fontId="0" fillId="0" borderId="0" xfId="0" applyNumberFormat="1"/>
    <xf numFmtId="0" fontId="1" fillId="0" borderId="0" xfId="0" applyFont="1"/>
    <xf numFmtId="0" fontId="3" fillId="0" borderId="0" xfId="0" applyFont="1"/>
    <xf numFmtId="11" fontId="0" fillId="0" borderId="0" xfId="0" applyNumberFormat="1"/>
    <xf numFmtId="11" fontId="1" fillId="0" borderId="0" xfId="0" applyNumberFormat="1" applyFont="1"/>
    <xf numFmtId="2" fontId="0" fillId="0" borderId="0" xfId="0" applyNumberFormat="1"/>
    <xf numFmtId="0" fontId="0" fillId="2" borderId="0" xfId="0" applyFill="1"/>
    <xf numFmtId="11" fontId="1" fillId="2" borderId="0" xfId="0" applyNumberFormat="1" applyFont="1" applyFill="1"/>
    <xf numFmtId="0" fontId="1" fillId="2" borderId="0" xfId="0" applyFont="1" applyFill="1"/>
    <xf numFmtId="11" fontId="0" fillId="2" borderId="0" xfId="0" applyNumberFormat="1" applyFill="1"/>
    <xf numFmtId="2" fontId="0" fillId="2" borderId="0" xfId="0" applyNumberFormat="1" applyFill="1"/>
    <xf numFmtId="9" fontId="0" fillId="0" borderId="0" xfId="1" applyFont="1"/>
    <xf numFmtId="9" fontId="2" fillId="0" borderId="0" xfId="1" applyFont="1"/>
    <xf numFmtId="10" fontId="2" fillId="0" borderId="0" xfId="1" applyNumberFormat="1" applyFont="1"/>
    <xf numFmtId="164" fontId="2" fillId="0" borderId="0" xfId="1" applyNumberFormat="1" applyFont="1"/>
    <xf numFmtId="10" fontId="0" fillId="0" borderId="0" xfId="1" applyNumberFormat="1" applyFont="1"/>
    <xf numFmtId="9" fontId="2" fillId="2" borderId="0" xfId="1" applyFont="1" applyFill="1"/>
    <xf numFmtId="0" fontId="5" fillId="0" borderId="0" xfId="0" applyFont="1"/>
    <xf numFmtId="9" fontId="0" fillId="2" borderId="0" xfId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i Frederic" id="{47AED2BE-D5EA-498A-9DA6-0217B7B62BF4}" userId="S::f.lai@brgm.fr::72472304-a615-4ed3-83bd-f62252a72fd0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9" dT="2026-03-03T15:58:36.14" personId="{47AED2BE-D5EA-498A-9DA6-0217B7B62BF4}" id="{7B4F0525-F640-485A-9399-C9688974FB60}">
    <text>No data about distribution between concentrate and cathode in the production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D4A4-DD22-4A02-B3B6-EA431D5A719C}">
  <dimension ref="A1:M52"/>
  <sheetViews>
    <sheetView tabSelected="1" topLeftCell="A12" zoomScale="70" zoomScaleNormal="70" workbookViewId="0">
      <selection activeCell="E36" sqref="E36"/>
    </sheetView>
  </sheetViews>
  <sheetFormatPr baseColWidth="10" defaultRowHeight="14.5" x14ac:dyDescent="0.35"/>
  <cols>
    <col min="1" max="1" width="20.81640625" bestFit="1" customWidth="1"/>
    <col min="2" max="2" width="20" bestFit="1" customWidth="1"/>
    <col min="3" max="3" width="13.54296875" bestFit="1" customWidth="1"/>
    <col min="4" max="4" width="23.54296875" customWidth="1"/>
    <col min="5" max="5" width="26.81640625" bestFit="1" customWidth="1"/>
    <col min="6" max="6" width="12.26953125" bestFit="1" customWidth="1"/>
    <col min="7" max="7" width="4.54296875" bestFit="1" customWidth="1"/>
    <col min="8" max="8" width="21.7265625" style="3" bestFit="1" customWidth="1"/>
    <col min="9" max="9" width="22" bestFit="1" customWidth="1"/>
    <col min="10" max="10" width="22.26953125" style="3" bestFit="1" customWidth="1"/>
  </cols>
  <sheetData>
    <row r="1" spans="1:13" x14ac:dyDescent="0.35">
      <c r="A1" s="1" t="s">
        <v>0</v>
      </c>
      <c r="B1" s="1" t="s">
        <v>1</v>
      </c>
      <c r="C1" s="1" t="s">
        <v>317</v>
      </c>
      <c r="D1" s="1" t="s">
        <v>375</v>
      </c>
      <c r="E1" s="1" t="s">
        <v>373</v>
      </c>
      <c r="F1" s="1" t="s">
        <v>371</v>
      </c>
      <c r="G1" s="1" t="s">
        <v>3</v>
      </c>
      <c r="H1" s="19" t="s">
        <v>376</v>
      </c>
      <c r="I1" s="1" t="s">
        <v>377</v>
      </c>
      <c r="J1" s="19" t="s">
        <v>378</v>
      </c>
      <c r="K1" s="1" t="s">
        <v>390</v>
      </c>
      <c r="L1" s="19" t="s">
        <v>391</v>
      </c>
      <c r="M1" s="1" t="s">
        <v>392</v>
      </c>
    </row>
    <row r="2" spans="1:13" x14ac:dyDescent="0.35">
      <c r="A2" t="s">
        <v>120</v>
      </c>
      <c r="B2" t="s">
        <v>185</v>
      </c>
      <c r="C2" t="s">
        <v>319</v>
      </c>
      <c r="D2" t="str">
        <f t="shared" ref="D2:D32" si="0">CONCATENATE(B2,"_",C2)</f>
        <v>El Abra_Cu cathode</v>
      </c>
      <c r="E2" t="s">
        <v>10</v>
      </c>
      <c r="F2">
        <f>SUM(EnergyData_Processed!G2)</f>
        <v>2398000</v>
      </c>
      <c r="G2" t="s">
        <v>9</v>
      </c>
      <c r="H2" s="3">
        <f>VLOOKUP(D2,ProductionData_Processed!$E:$J,5,FALSE)</f>
        <v>98429</v>
      </c>
      <c r="I2" s="13">
        <f>VLOOKUP(D2,ProductionData_Processed!$E:$L,8,FALSE)</f>
        <v>1</v>
      </c>
      <c r="J2" s="3">
        <f t="shared" ref="J2:J32" si="1">F2/H2*I2</f>
        <v>24.362738623779578</v>
      </c>
      <c r="K2">
        <f>SUM(J2:J3)</f>
        <v>35.747594712940291</v>
      </c>
      <c r="L2">
        <f>AVERAGE(K2:K22)</f>
        <v>35.200469224169474</v>
      </c>
      <c r="M2">
        <f>AVERAGE(J2,J4,J6,J8,J10,J12,J14,J16,J18,J20)</f>
        <v>14.758959684662006</v>
      </c>
    </row>
    <row r="3" spans="1:13" x14ac:dyDescent="0.35">
      <c r="A3" t="s">
        <v>120</v>
      </c>
      <c r="B3" t="s">
        <v>185</v>
      </c>
      <c r="C3" t="s">
        <v>319</v>
      </c>
      <c r="D3" t="str">
        <f t="shared" si="0"/>
        <v>El Abra_Cu cathode</v>
      </c>
      <c r="E3" t="s">
        <v>372</v>
      </c>
      <c r="F3">
        <f>SUM(EnergyData_Processed!G3:G5)</f>
        <v>1120600</v>
      </c>
      <c r="G3" t="s">
        <v>9</v>
      </c>
      <c r="H3" s="3">
        <f>VLOOKUP(D3,ProductionData_Processed!$E:$J,5,FALSE)</f>
        <v>98429</v>
      </c>
      <c r="I3" s="13">
        <f>VLOOKUP(D3,ProductionData_Processed!$E:$L,8,FALSE)</f>
        <v>1</v>
      </c>
      <c r="J3" s="3">
        <f t="shared" si="1"/>
        <v>11.384856089160715</v>
      </c>
      <c r="M3">
        <f>AVERAGE(J3,J5,J7,J9,J11,J13,J15,J17,J19,J21,J22)</f>
        <v>21.783233147204012</v>
      </c>
    </row>
    <row r="4" spans="1:13" x14ac:dyDescent="0.35">
      <c r="A4" t="s">
        <v>232</v>
      </c>
      <c r="B4" t="s">
        <v>233</v>
      </c>
      <c r="C4" t="s">
        <v>319</v>
      </c>
      <c r="D4" t="str">
        <f t="shared" si="0"/>
        <v>Kinsevere_Cu cathode</v>
      </c>
      <c r="E4" t="s">
        <v>10</v>
      </c>
      <c r="F4">
        <f>SUM(EnergyData_Processed!G7)</f>
        <v>503140</v>
      </c>
      <c r="G4" t="s">
        <v>9</v>
      </c>
      <c r="H4" s="3">
        <f>VLOOKUP(D4,ProductionData_Processed!$E:$J,5,FALSE)</f>
        <v>44068</v>
      </c>
      <c r="I4" s="13">
        <f>VLOOKUP(D4,ProductionData_Processed!$E:$L,8,FALSE)</f>
        <v>0.99283835831461564</v>
      </c>
      <c r="J4" s="3">
        <f t="shared" si="1"/>
        <v>11.335587991341011</v>
      </c>
      <c r="K4">
        <f>SUM(J4:J5)</f>
        <v>37.4904622773523</v>
      </c>
    </row>
    <row r="5" spans="1:13" x14ac:dyDescent="0.35">
      <c r="A5" t="s">
        <v>232</v>
      </c>
      <c r="B5" t="s">
        <v>233</v>
      </c>
      <c r="C5" t="s">
        <v>319</v>
      </c>
      <c r="D5" t="str">
        <f t="shared" si="0"/>
        <v>Kinsevere_Cu cathode</v>
      </c>
      <c r="E5" t="s">
        <v>372</v>
      </c>
      <c r="F5">
        <f>SUM(EnergyData_Processed!G6)</f>
        <v>1160907</v>
      </c>
      <c r="G5" t="s">
        <v>9</v>
      </c>
      <c r="H5" s="3">
        <f>VLOOKUP(D5,ProductionData_Processed!$E:$J,5,FALSE)</f>
        <v>44068</v>
      </c>
      <c r="I5" s="13">
        <f>VLOOKUP(D5,ProductionData_Processed!$E:$L,8,FALSE)</f>
        <v>0.99283835831461564</v>
      </c>
      <c r="J5" s="3">
        <f t="shared" si="1"/>
        <v>26.154874286011289</v>
      </c>
    </row>
    <row r="6" spans="1:13" x14ac:dyDescent="0.35">
      <c r="A6" t="s">
        <v>80</v>
      </c>
      <c r="B6" t="s">
        <v>81</v>
      </c>
      <c r="C6" t="s">
        <v>319</v>
      </c>
      <c r="D6" t="str">
        <f t="shared" si="0"/>
        <v>Kounrad_Cu cathode</v>
      </c>
      <c r="E6" t="s">
        <v>10</v>
      </c>
      <c r="F6">
        <f>SUM(EnergyData_Processed!G10:G11)</f>
        <v>212373</v>
      </c>
      <c r="G6" t="s">
        <v>9</v>
      </c>
      <c r="H6" s="3">
        <f>VLOOKUP(D6,ProductionData_Processed!$E:$J,5,FALSE)</f>
        <v>13816</v>
      </c>
      <c r="I6" s="13">
        <f>VLOOKUP(D6,ProductionData_Processed!$E:$L,8,FALSE)</f>
        <v>1</v>
      </c>
      <c r="J6" s="3">
        <f t="shared" si="1"/>
        <v>15.371525767226403</v>
      </c>
      <c r="K6">
        <f>SUM(J6:J7)</f>
        <v>34.29711928199189</v>
      </c>
    </row>
    <row r="7" spans="1:13" x14ac:dyDescent="0.35">
      <c r="A7" t="s">
        <v>80</v>
      </c>
      <c r="B7" t="s">
        <v>81</v>
      </c>
      <c r="C7" t="s">
        <v>319</v>
      </c>
      <c r="D7" t="str">
        <f t="shared" si="0"/>
        <v>Kounrad_Cu cathode</v>
      </c>
      <c r="E7" t="s">
        <v>372</v>
      </c>
      <c r="F7">
        <f>SUM(EnergyData_Processed!G8:G9)</f>
        <v>261476</v>
      </c>
      <c r="G7" t="s">
        <v>9</v>
      </c>
      <c r="H7" s="3">
        <f>VLOOKUP(D7,ProductionData_Processed!$E:$J,5,FALSE)</f>
        <v>13816</v>
      </c>
      <c r="I7" s="13">
        <f>VLOOKUP(D7,ProductionData_Processed!$E:$L,8,FALSE)</f>
        <v>1</v>
      </c>
      <c r="J7" s="3">
        <f t="shared" si="1"/>
        <v>18.925593514765488</v>
      </c>
    </row>
    <row r="8" spans="1:13" x14ac:dyDescent="0.35">
      <c r="A8" t="s">
        <v>120</v>
      </c>
      <c r="B8" t="s">
        <v>204</v>
      </c>
      <c r="C8" t="s">
        <v>319</v>
      </c>
      <c r="D8" t="str">
        <f t="shared" si="0"/>
        <v>Safford_Cu cathode</v>
      </c>
      <c r="E8" t="s">
        <v>10</v>
      </c>
      <c r="F8">
        <f>SUM(EnergyData_Processed!G12)</f>
        <v>1392000</v>
      </c>
      <c r="G8" t="s">
        <v>9</v>
      </c>
      <c r="H8" s="3">
        <f>VLOOKUP(D8,ProductionData_Processed!$E:$J,5,FALSE)</f>
        <v>111130</v>
      </c>
      <c r="I8" s="13">
        <f>VLOOKUP(D8,ProductionData_Processed!$E:$L,8,FALSE)</f>
        <v>1</v>
      </c>
      <c r="J8" s="3">
        <f t="shared" si="1"/>
        <v>12.52587060199766</v>
      </c>
      <c r="K8">
        <f>SUM(J8:J9)</f>
        <v>39.028165211913972</v>
      </c>
    </row>
    <row r="9" spans="1:13" x14ac:dyDescent="0.35">
      <c r="A9" t="s">
        <v>120</v>
      </c>
      <c r="B9" t="s">
        <v>204</v>
      </c>
      <c r="C9" t="s">
        <v>319</v>
      </c>
      <c r="D9" t="str">
        <f t="shared" si="0"/>
        <v>Safford_Cu cathode</v>
      </c>
      <c r="E9" t="s">
        <v>372</v>
      </c>
      <c r="F9">
        <f>SUM(EnergyData_Processed!G13:G15)</f>
        <v>2945200</v>
      </c>
      <c r="G9" t="s">
        <v>9</v>
      </c>
      <c r="H9" s="3">
        <f>VLOOKUP(D9,ProductionData_Processed!$E:$J,5,FALSE)</f>
        <v>111130</v>
      </c>
      <c r="I9" s="13">
        <f>VLOOKUP(D9,ProductionData_Processed!$E:$L,8,FALSE)</f>
        <v>1</v>
      </c>
      <c r="J9" s="3">
        <f t="shared" si="1"/>
        <v>26.502294609916316</v>
      </c>
    </row>
    <row r="10" spans="1:13" x14ac:dyDescent="0.35">
      <c r="A10" t="s">
        <v>120</v>
      </c>
      <c r="B10" t="s">
        <v>168</v>
      </c>
      <c r="C10" t="s">
        <v>319</v>
      </c>
      <c r="D10" t="str">
        <f t="shared" si="0"/>
        <v>Tyrone_Cu cathode</v>
      </c>
      <c r="E10" t="s">
        <v>10</v>
      </c>
      <c r="F10">
        <f>SUM(EnergyData_Processed!G16)</f>
        <v>764000</v>
      </c>
      <c r="G10" t="s">
        <v>9</v>
      </c>
      <c r="H10" s="3">
        <f>VLOOKUP(D10,ProductionData_Processed!$E:$J,5,FALSE)</f>
        <v>23133</v>
      </c>
      <c r="I10" s="13">
        <f>VLOOKUP(D10,ProductionData_Processed!$E:$L,8,FALSE)</f>
        <v>1</v>
      </c>
      <c r="J10" s="3">
        <f t="shared" si="1"/>
        <v>33.026412484329747</v>
      </c>
      <c r="K10">
        <f>SUM(J10:J11)</f>
        <v>60.41585613625557</v>
      </c>
    </row>
    <row r="11" spans="1:13" x14ac:dyDescent="0.35">
      <c r="A11" t="s">
        <v>120</v>
      </c>
      <c r="B11" t="s">
        <v>168</v>
      </c>
      <c r="C11" t="s">
        <v>319</v>
      </c>
      <c r="D11" t="str">
        <f t="shared" si="0"/>
        <v>Tyrone_Cu cathode</v>
      </c>
      <c r="E11" t="s">
        <v>372</v>
      </c>
      <c r="F11">
        <f>SUM(EnergyData_Processed!G17:G21)</f>
        <v>633600</v>
      </c>
      <c r="G11" t="s">
        <v>9</v>
      </c>
      <c r="H11" s="3">
        <f>VLOOKUP(D11,ProductionData_Processed!$E:$J,5,FALSE)</f>
        <v>23133</v>
      </c>
      <c r="I11" s="13">
        <f>VLOOKUP(D11,ProductionData_Processed!$E:$L,8,FALSE)</f>
        <v>1</v>
      </c>
      <c r="J11" s="3">
        <f t="shared" si="1"/>
        <v>27.38944365192582</v>
      </c>
    </row>
    <row r="12" spans="1:13" x14ac:dyDescent="0.35">
      <c r="A12" t="s">
        <v>278</v>
      </c>
      <c r="B12" t="s">
        <v>279</v>
      </c>
      <c r="C12" t="s">
        <v>319</v>
      </c>
      <c r="D12" t="str">
        <f t="shared" si="0"/>
        <v>Wetar_Cu cathode</v>
      </c>
      <c r="E12" t="s">
        <v>10</v>
      </c>
      <c r="F12">
        <f>SUM(EnergyData_Processed!G22)</f>
        <v>226542.024</v>
      </c>
      <c r="G12" t="s">
        <v>9</v>
      </c>
      <c r="H12" s="3">
        <f>VLOOKUP(D12,ProductionData_Processed!$E:$J,5,FALSE)</f>
        <v>19045</v>
      </c>
      <c r="I12" s="13">
        <f>VLOOKUP(D12,ProductionData_Processed!$E:$L,8,FALSE)</f>
        <v>1</v>
      </c>
      <c r="J12" s="3">
        <f t="shared" si="1"/>
        <v>11.89509183512733</v>
      </c>
      <c r="K12">
        <f>SUM(J12:J13)</f>
        <v>41.018362509845097</v>
      </c>
    </row>
    <row r="13" spans="1:13" x14ac:dyDescent="0.35">
      <c r="A13" t="s">
        <v>278</v>
      </c>
      <c r="B13" t="s">
        <v>279</v>
      </c>
      <c r="C13" t="s">
        <v>319</v>
      </c>
      <c r="D13" t="str">
        <f t="shared" si="0"/>
        <v>Wetar_Cu cathode</v>
      </c>
      <c r="E13" t="s">
        <v>372</v>
      </c>
      <c r="F13">
        <f>SUM(EnergyData_Processed!G23:G24)</f>
        <v>554652.68999999994</v>
      </c>
      <c r="G13" t="s">
        <v>9</v>
      </c>
      <c r="H13" s="3">
        <f>VLOOKUP(D13,ProductionData_Processed!$E:$J,5,FALSE)</f>
        <v>19045</v>
      </c>
      <c r="I13" s="13">
        <f>VLOOKUP(D13,ProductionData_Processed!$E:$L,8,FALSE)</f>
        <v>1</v>
      </c>
      <c r="J13" s="3">
        <f t="shared" si="1"/>
        <v>29.123270674717769</v>
      </c>
    </row>
    <row r="14" spans="1:13" x14ac:dyDescent="0.35">
      <c r="A14" t="s">
        <v>50</v>
      </c>
      <c r="B14" t="s">
        <v>72</v>
      </c>
      <c r="C14" t="s">
        <v>319</v>
      </c>
      <c r="D14" t="str">
        <f t="shared" si="0"/>
        <v>Cozamin_Cu cathode</v>
      </c>
      <c r="E14" t="s">
        <v>10</v>
      </c>
      <c r="F14">
        <f>SUM(EnergyData_Processed!G84)</f>
        <v>228707</v>
      </c>
      <c r="G14" t="s">
        <v>9</v>
      </c>
      <c r="H14" s="3">
        <f>VLOOKUP(D14,ProductionData_Processed!$E:$J,5,FALSE)</f>
        <v>24451</v>
      </c>
      <c r="I14" s="13">
        <f>VLOOKUP(D14,ProductionData_Processed!$E:$L,8,FALSE)</f>
        <v>0.86435267090112367</v>
      </c>
      <c r="J14" s="3">
        <f t="shared" si="1"/>
        <v>8.0848843116348323</v>
      </c>
      <c r="K14">
        <f>SUM(J14:J15)</f>
        <v>14.0186259816732</v>
      </c>
    </row>
    <row r="15" spans="1:13" x14ac:dyDescent="0.35">
      <c r="A15" t="s">
        <v>50</v>
      </c>
      <c r="B15" t="s">
        <v>72</v>
      </c>
      <c r="C15" t="s">
        <v>319</v>
      </c>
      <c r="D15" t="str">
        <f t="shared" si="0"/>
        <v>Cozamin_Cu cathode</v>
      </c>
      <c r="E15" t="s">
        <v>372</v>
      </c>
      <c r="F15">
        <f>SUM(EnergyData_Processed!G83)</f>
        <v>167855</v>
      </c>
      <c r="G15" t="s">
        <v>9</v>
      </c>
      <c r="H15" s="3">
        <f>VLOOKUP(D15,ProductionData_Processed!$E:$J,5,FALSE)</f>
        <v>24451</v>
      </c>
      <c r="I15" s="13">
        <f>VLOOKUP(D15,ProductionData_Processed!$E:$L,8,FALSE)</f>
        <v>0.86435267090112367</v>
      </c>
      <c r="J15" s="3">
        <f t="shared" si="1"/>
        <v>5.9337416700383665</v>
      </c>
    </row>
    <row r="16" spans="1:13" x14ac:dyDescent="0.35">
      <c r="A16" t="s">
        <v>50</v>
      </c>
      <c r="B16" t="s">
        <v>62</v>
      </c>
      <c r="C16" t="s">
        <v>319</v>
      </c>
      <c r="D16" t="str">
        <f t="shared" si="0"/>
        <v>Mantos Blancos_Cu cathode</v>
      </c>
      <c r="E16" t="s">
        <v>10</v>
      </c>
      <c r="F16">
        <f>F14</f>
        <v>228707</v>
      </c>
      <c r="G16" t="s">
        <v>9</v>
      </c>
      <c r="H16" s="3">
        <f>VLOOKUP(D16,ProductionData_Processed!$E:$J,5,FALSE)</f>
        <v>15697</v>
      </c>
      <c r="I16" s="13">
        <f>VLOOKUP(D16,ProductionData_Processed!$E:$L,8,FALSE)</f>
        <v>0.30288707068275528</v>
      </c>
      <c r="J16" s="3">
        <f t="shared" si="1"/>
        <v>4.4130976157635793</v>
      </c>
      <c r="K16">
        <f>SUM(J16:J17)</f>
        <v>7.652003728361775</v>
      </c>
    </row>
    <row r="17" spans="1:13" x14ac:dyDescent="0.35">
      <c r="A17" t="s">
        <v>50</v>
      </c>
      <c r="B17" t="s">
        <v>62</v>
      </c>
      <c r="C17" t="s">
        <v>319</v>
      </c>
      <c r="D17" t="str">
        <f t="shared" si="0"/>
        <v>Mantos Blancos_Cu cathode</v>
      </c>
      <c r="E17" t="s">
        <v>372</v>
      </c>
      <c r="F17">
        <f>F15</f>
        <v>167855</v>
      </c>
      <c r="G17" t="s">
        <v>9</v>
      </c>
      <c r="H17" s="3">
        <f>VLOOKUP(D17,ProductionData_Processed!$E:$J,5,FALSE)</f>
        <v>15697</v>
      </c>
      <c r="I17" s="13">
        <f>VLOOKUP(D17,ProductionData_Processed!$E:$L,8,FALSE)</f>
        <v>0.30288707068275528</v>
      </c>
      <c r="J17" s="3">
        <f t="shared" si="1"/>
        <v>3.2389061125981962</v>
      </c>
    </row>
    <row r="18" spans="1:13" x14ac:dyDescent="0.35">
      <c r="A18" t="s">
        <v>50</v>
      </c>
      <c r="B18" t="s">
        <v>70</v>
      </c>
      <c r="C18" t="s">
        <v>319</v>
      </c>
      <c r="D18" t="str">
        <f t="shared" si="0"/>
        <v>Mantoverde_Cu cathode</v>
      </c>
      <c r="E18" t="s">
        <v>10</v>
      </c>
      <c r="F18">
        <f>EnergyData_Processed!G88</f>
        <v>691918</v>
      </c>
      <c r="G18" t="s">
        <v>9</v>
      </c>
      <c r="H18" s="3">
        <f>VLOOKUP(D18,ProductionData_Processed!$E:$J,5,FALSE)</f>
        <v>47364</v>
      </c>
      <c r="I18" s="13">
        <f>VLOOKUP(D18,ProductionData_Processed!$E:$L,8,FALSE)</f>
        <v>0.96083219019896149</v>
      </c>
      <c r="J18" s="3">
        <f t="shared" si="1"/>
        <v>14.036337458366798</v>
      </c>
      <c r="K18">
        <f>SUM(J18:J19)</f>
        <v>56.671125711889133</v>
      </c>
    </row>
    <row r="19" spans="1:13" x14ac:dyDescent="0.35">
      <c r="A19" t="s">
        <v>50</v>
      </c>
      <c r="B19" t="s">
        <v>70</v>
      </c>
      <c r="C19" t="s">
        <v>319</v>
      </c>
      <c r="D19" t="str">
        <f t="shared" si="0"/>
        <v>Mantoverde_Cu cathode</v>
      </c>
      <c r="E19" t="s">
        <v>372</v>
      </c>
      <c r="F19">
        <f>SUM(EnergyData_Processed!G87)</f>
        <v>2101672</v>
      </c>
      <c r="G19" t="s">
        <v>9</v>
      </c>
      <c r="H19" s="3">
        <f>VLOOKUP(D19,ProductionData_Processed!$E:$J,5,FALSE)</f>
        <v>47364</v>
      </c>
      <c r="I19" s="13">
        <f>VLOOKUP(D19,ProductionData_Processed!$E:$L,8,FALSE)</f>
        <v>0.96083219019896149</v>
      </c>
      <c r="J19" s="3">
        <f t="shared" si="1"/>
        <v>42.634788253522331</v>
      </c>
    </row>
    <row r="20" spans="1:13" x14ac:dyDescent="0.35">
      <c r="A20" t="s">
        <v>50</v>
      </c>
      <c r="B20" t="s">
        <v>51</v>
      </c>
      <c r="C20" t="s">
        <v>319</v>
      </c>
      <c r="D20" t="str">
        <f t="shared" si="0"/>
        <v>Pinto Valley_Cu cathode</v>
      </c>
      <c r="E20" t="s">
        <v>10</v>
      </c>
      <c r="F20">
        <f>F18</f>
        <v>691918</v>
      </c>
      <c r="G20" t="s">
        <v>9</v>
      </c>
      <c r="H20" s="3">
        <f>VLOOKUP(D20,ProductionData_Processed!$E:$J,5,FALSE)</f>
        <v>2622</v>
      </c>
      <c r="I20" s="13">
        <f>VLOOKUP(D20,ProductionData_Processed!$E:$L,8,FALSE)</f>
        <v>4.7512519564158293E-2</v>
      </c>
      <c r="J20" s="3">
        <f t="shared" si="1"/>
        <v>12.538050157053117</v>
      </c>
      <c r="K20">
        <f>SUM(J20:J21)</f>
        <v>50.621853367367265</v>
      </c>
    </row>
    <row r="21" spans="1:13" x14ac:dyDescent="0.35">
      <c r="A21" t="s">
        <v>50</v>
      </c>
      <c r="B21" t="s">
        <v>51</v>
      </c>
      <c r="C21" t="s">
        <v>319</v>
      </c>
      <c r="D21" t="str">
        <f t="shared" si="0"/>
        <v>Pinto Valley_Cu cathode</v>
      </c>
      <c r="E21" t="s">
        <v>372</v>
      </c>
      <c r="F21">
        <f>F19</f>
        <v>2101672</v>
      </c>
      <c r="G21" t="s">
        <v>9</v>
      </c>
      <c r="H21" s="3">
        <f>VLOOKUP(D21,ProductionData_Processed!$E:$J,5,FALSE)</f>
        <v>2622</v>
      </c>
      <c r="I21" s="13">
        <f>VLOOKUP(D21,ProductionData_Processed!$E:$L,8,FALSE)</f>
        <v>4.7512519564158293E-2</v>
      </c>
      <c r="J21" s="3">
        <f t="shared" si="1"/>
        <v>38.083803210314144</v>
      </c>
    </row>
    <row r="22" spans="1:13" x14ac:dyDescent="0.35">
      <c r="A22" t="s">
        <v>380</v>
      </c>
      <c r="B22" t="s">
        <v>381</v>
      </c>
      <c r="C22" t="s">
        <v>319</v>
      </c>
      <c r="D22" t="str">
        <f t="shared" si="0"/>
        <v>Mina Justa _Cu cathode</v>
      </c>
      <c r="E22" t="s">
        <v>372</v>
      </c>
      <c r="F22">
        <f>SUM(EnergyData_Processed!G101:G102)</f>
        <v>1464062.4000000001</v>
      </c>
      <c r="G22" t="s">
        <v>9</v>
      </c>
      <c r="H22" s="3">
        <f>VLOOKUP(D22,ProductionData_Processed!$E:$J,5,FALSE)</f>
        <v>39314</v>
      </c>
      <c r="I22" s="13">
        <f>VLOOKUP(D22,ProductionData_Processed!$E:$L,8,FALSE)</f>
        <v>0.27507865987420016</v>
      </c>
      <c r="J22" s="3">
        <f t="shared" si="1"/>
        <v>10.243992546273724</v>
      </c>
      <c r="K22">
        <f>J22</f>
        <v>10.243992546273724</v>
      </c>
    </row>
    <row r="23" spans="1:13" x14ac:dyDescent="0.35">
      <c r="A23" t="s">
        <v>286</v>
      </c>
      <c r="B23" t="s">
        <v>287</v>
      </c>
      <c r="C23" t="s">
        <v>12</v>
      </c>
      <c r="D23" t="str">
        <f t="shared" si="0"/>
        <v>Batu Hijau_Cu concentrate</v>
      </c>
      <c r="E23" t="s">
        <v>393</v>
      </c>
      <c r="F23">
        <f>SUM(EnergyData_Processed!G27)</f>
        <v>20950747</v>
      </c>
      <c r="G23" t="s">
        <v>9</v>
      </c>
      <c r="H23" s="3">
        <f>VLOOKUP(D23,ProductionData_Processed!$E:$J,5,FALSE)</f>
        <v>141520.81943999999</v>
      </c>
      <c r="I23" s="13">
        <f>VLOOKUP(D23,ProductionData_Processed!$E:$L,8,FALSE)</f>
        <v>0.48923444563214402</v>
      </c>
      <c r="J23" s="3">
        <f t="shared" si="1"/>
        <v>72.426284236361994</v>
      </c>
      <c r="K23">
        <f>SUM(J23:J23)</f>
        <v>72.426284236361994</v>
      </c>
      <c r="L23">
        <f>AVERAGE(K23:K52)</f>
        <v>36.851768314228849</v>
      </c>
      <c r="M23" t="e">
        <f>AVERAGE(J23,J24,J26,J28,J30,J32,J34,#REF!,J36,J37,J40,J42,J44,J46,J48,J50)</f>
        <v>#REF!</v>
      </c>
    </row>
    <row r="24" spans="1:13" x14ac:dyDescent="0.35">
      <c r="A24" t="s">
        <v>210</v>
      </c>
      <c r="B24" t="s">
        <v>221</v>
      </c>
      <c r="C24" t="s">
        <v>12</v>
      </c>
      <c r="D24" t="str">
        <f t="shared" si="0"/>
        <v>Bozshakol_Cu concentrate</v>
      </c>
      <c r="E24" t="s">
        <v>10</v>
      </c>
      <c r="F24">
        <f>SUM(EnergyData_Processed!G30)</f>
        <v>3850000</v>
      </c>
      <c r="G24" t="s">
        <v>9</v>
      </c>
      <c r="H24" s="3">
        <f>VLOOKUP(D24,ProductionData_Processed!$E:$J,5,FALSE)</f>
        <v>105000</v>
      </c>
      <c r="I24" s="13">
        <f>VLOOKUP(D24,ProductionData_Processed!$E:$L,8,FALSE)</f>
        <v>0.75015588218995666</v>
      </c>
      <c r="J24" s="3">
        <f t="shared" si="1"/>
        <v>27.505715680298408</v>
      </c>
      <c r="K24">
        <f>SUM(J24:J25)</f>
        <v>37.865011196254954</v>
      </c>
    </row>
    <row r="25" spans="1:13" x14ac:dyDescent="0.35">
      <c r="A25" t="s">
        <v>210</v>
      </c>
      <c r="B25" t="s">
        <v>221</v>
      </c>
      <c r="C25" t="s">
        <v>12</v>
      </c>
      <c r="D25" t="str">
        <f t="shared" si="0"/>
        <v>Bozshakol_Cu concentrate</v>
      </c>
      <c r="E25" t="s">
        <v>372</v>
      </c>
      <c r="F25">
        <f>SUM(EnergyData_Processed!G29)</f>
        <v>1450000</v>
      </c>
      <c r="G25" t="s">
        <v>9</v>
      </c>
      <c r="H25" s="3">
        <f>VLOOKUP(D25,ProductionData_Processed!$E:$J,5,FALSE)</f>
        <v>105000</v>
      </c>
      <c r="I25" s="13">
        <f>VLOOKUP(D25,ProductionData_Processed!$E:$L,8,FALSE)</f>
        <v>0.75015588218995666</v>
      </c>
      <c r="J25" s="3">
        <f t="shared" si="1"/>
        <v>10.359295515956545</v>
      </c>
    </row>
    <row r="26" spans="1:13" x14ac:dyDescent="0.35">
      <c r="A26" t="s">
        <v>210</v>
      </c>
      <c r="B26" t="s">
        <v>225</v>
      </c>
      <c r="C26" t="s">
        <v>12</v>
      </c>
      <c r="D26" t="str">
        <f t="shared" si="0"/>
        <v>Bozymchak_Cu concentrate</v>
      </c>
      <c r="E26" t="s">
        <v>10</v>
      </c>
      <c r="F26">
        <f>SUM(EnergyData_Processed!G32)</f>
        <v>180000</v>
      </c>
      <c r="G26" t="s">
        <v>9</v>
      </c>
      <c r="H26" s="3">
        <f>VLOOKUP(D26,ProductionData_Processed!$E:$J,5,FALSE)</f>
        <v>5000</v>
      </c>
      <c r="I26" s="13">
        <f>VLOOKUP(D26,ProductionData_Processed!$E:$L,8,FALSE)</f>
        <v>0.35627852617435268</v>
      </c>
      <c r="J26" s="3">
        <f t="shared" si="1"/>
        <v>12.826026942276696</v>
      </c>
      <c r="K26">
        <f>SUM(J26:J27)</f>
        <v>22.801825675158572</v>
      </c>
    </row>
    <row r="27" spans="1:13" x14ac:dyDescent="0.35">
      <c r="A27" t="s">
        <v>210</v>
      </c>
      <c r="B27" t="s">
        <v>225</v>
      </c>
      <c r="C27" t="s">
        <v>12</v>
      </c>
      <c r="D27" t="str">
        <f t="shared" si="0"/>
        <v>Bozymchak_Cu concentrate</v>
      </c>
      <c r="E27" t="s">
        <v>372</v>
      </c>
      <c r="F27">
        <f>SUM(EnergyData_Processed!G31)</f>
        <v>140000</v>
      </c>
      <c r="G27" t="s">
        <v>9</v>
      </c>
      <c r="H27" s="3">
        <f>VLOOKUP(D27,ProductionData_Processed!$E:$J,5,FALSE)</f>
        <v>5000</v>
      </c>
      <c r="I27" s="13">
        <f>VLOOKUP(D27,ProductionData_Processed!$E:$L,8,FALSE)</f>
        <v>0.35627852617435268</v>
      </c>
      <c r="J27" s="3">
        <f t="shared" si="1"/>
        <v>9.9757987328818754</v>
      </c>
    </row>
    <row r="28" spans="1:13" x14ac:dyDescent="0.35">
      <c r="A28" t="s">
        <v>104</v>
      </c>
      <c r="B28" t="s">
        <v>105</v>
      </c>
      <c r="C28" t="s">
        <v>12</v>
      </c>
      <c r="D28" t="str">
        <f t="shared" si="0"/>
        <v>Caraíba_Cu concentrate</v>
      </c>
      <c r="E28" t="s">
        <v>10</v>
      </c>
      <c r="F28">
        <f>SUM(EnergyData_Processed!G36)</f>
        <v>863526</v>
      </c>
      <c r="G28" t="s">
        <v>9</v>
      </c>
      <c r="H28" s="3">
        <f>VLOOKUP(D28,ProductionData_Processed!$E:$J,5,FALSE)</f>
        <v>43857</v>
      </c>
      <c r="I28" s="13">
        <f>VLOOKUP(D28,ProductionData_Processed!$E:$L,8,FALSE)</f>
        <v>1</v>
      </c>
      <c r="J28" s="3">
        <f t="shared" si="1"/>
        <v>19.689582050755867</v>
      </c>
      <c r="K28">
        <f>SUM(J28:J29)</f>
        <v>31.912100690881729</v>
      </c>
    </row>
    <row r="29" spans="1:13" x14ac:dyDescent="0.35">
      <c r="A29" t="s">
        <v>104</v>
      </c>
      <c r="B29" t="s">
        <v>105</v>
      </c>
      <c r="C29" t="s">
        <v>12</v>
      </c>
      <c r="D29" t="str">
        <f t="shared" si="0"/>
        <v>Caraíba_Cu concentrate</v>
      </c>
      <c r="E29" t="s">
        <v>372</v>
      </c>
      <c r="F29">
        <f>SUM(EnergyData_Processed!G33:G35)</f>
        <v>536043</v>
      </c>
      <c r="G29" t="s">
        <v>9</v>
      </c>
      <c r="H29" s="3">
        <f>VLOOKUP(D29,ProductionData_Processed!$E:$J,5,FALSE)</f>
        <v>43857</v>
      </c>
      <c r="I29" s="13">
        <f>VLOOKUP(D29,ProductionData_Processed!$E:$L,8,FALSE)</f>
        <v>1</v>
      </c>
      <c r="J29" s="3">
        <f t="shared" si="1"/>
        <v>12.222518640125864</v>
      </c>
    </row>
    <row r="30" spans="1:13" x14ac:dyDescent="0.35">
      <c r="A30" t="s">
        <v>210</v>
      </c>
      <c r="B30" t="s">
        <v>226</v>
      </c>
      <c r="C30" t="s">
        <v>12</v>
      </c>
      <c r="D30" t="str">
        <f t="shared" si="0"/>
        <v>East Region Operations_Cu concentrate</v>
      </c>
      <c r="E30" t="s">
        <v>10</v>
      </c>
      <c r="F30">
        <f>SUM(EnergyData_Processed!G38)</f>
        <v>1490000</v>
      </c>
      <c r="G30" t="s">
        <v>9</v>
      </c>
      <c r="H30" s="3">
        <f>VLOOKUP(D30,ProductionData_Processed!$E:$J,5,FALSE)</f>
        <v>41000</v>
      </c>
      <c r="I30" s="13">
        <f>VLOOKUP(D30,ProductionData_Processed!$E:$L,8,FALSE)</f>
        <v>0.5928256765345884</v>
      </c>
      <c r="J30" s="3">
        <f t="shared" si="1"/>
        <v>21.544152635037481</v>
      </c>
      <c r="K30">
        <f>SUM(J30:J31)</f>
        <v>41.497797357421192</v>
      </c>
    </row>
    <row r="31" spans="1:13" x14ac:dyDescent="0.35">
      <c r="A31" t="s">
        <v>210</v>
      </c>
      <c r="B31" t="s">
        <v>226</v>
      </c>
      <c r="C31" t="s">
        <v>12</v>
      </c>
      <c r="D31" t="str">
        <f t="shared" si="0"/>
        <v>East Region Operations_Cu concentrate</v>
      </c>
      <c r="E31" t="s">
        <v>372</v>
      </c>
      <c r="F31">
        <f>SUM(EnergyData_Processed!G37,EnergyData_Processed!G39)</f>
        <v>1380000</v>
      </c>
      <c r="G31" t="s">
        <v>9</v>
      </c>
      <c r="H31" s="3">
        <f>VLOOKUP(D31,ProductionData_Processed!$E:$J,5,FALSE)</f>
        <v>41000</v>
      </c>
      <c r="I31" s="13">
        <f>VLOOKUP(D31,ProductionData_Processed!$E:$L,8,FALSE)</f>
        <v>0.5928256765345884</v>
      </c>
      <c r="J31" s="3">
        <f t="shared" si="1"/>
        <v>19.953644722383707</v>
      </c>
    </row>
    <row r="32" spans="1:13" x14ac:dyDescent="0.35">
      <c r="A32" t="s">
        <v>303</v>
      </c>
      <c r="B32" t="s">
        <v>304</v>
      </c>
      <c r="C32" t="s">
        <v>12</v>
      </c>
      <c r="D32" t="str">
        <f t="shared" si="0"/>
        <v>Gibraltar_Cu concentrate</v>
      </c>
      <c r="E32" t="s">
        <v>10</v>
      </c>
      <c r="F32">
        <f>SUM(EnergyData_Processed!G40)</f>
        <v>1695665</v>
      </c>
      <c r="G32" t="s">
        <v>9</v>
      </c>
      <c r="H32" s="3">
        <f>VLOOKUP(D32,ProductionData_Processed!$E:$J,5,FALSE)</f>
        <v>55791.861510000002</v>
      </c>
      <c r="I32" s="13">
        <f>VLOOKUP(D32,ProductionData_Processed!$E:$L,8,FALSE)</f>
        <v>0.95617694433305822</v>
      </c>
      <c r="J32" s="3">
        <f t="shared" si="1"/>
        <v>29.060793714902438</v>
      </c>
      <c r="K32">
        <f>SUM(J32:J33)</f>
        <v>61.792762786302497</v>
      </c>
    </row>
    <row r="33" spans="1:11" x14ac:dyDescent="0.35">
      <c r="A33" t="s">
        <v>303</v>
      </c>
      <c r="B33" t="s">
        <v>304</v>
      </c>
      <c r="C33" t="s">
        <v>12</v>
      </c>
      <c r="D33" t="str">
        <f t="shared" ref="D33:D52" si="2">CONCATENATE(B33,"_",C33)</f>
        <v>Gibraltar_Cu concentrate</v>
      </c>
      <c r="E33" t="s">
        <v>372</v>
      </c>
      <c r="F33">
        <f>SUM(EnergyData_Processed!G41:G44)</f>
        <v>1909874</v>
      </c>
      <c r="G33" t="s">
        <v>9</v>
      </c>
      <c r="H33" s="3">
        <f>VLOOKUP(D33,ProductionData_Processed!$E:$J,5,FALSE)</f>
        <v>55791.861510000002</v>
      </c>
      <c r="I33" s="13">
        <f>VLOOKUP(D33,ProductionData_Processed!$E:$L,8,FALSE)</f>
        <v>0.95617694433305822</v>
      </c>
      <c r="J33" s="3">
        <f t="shared" ref="J33:J52" si="3">F33/H33*I33</f>
        <v>32.731969071400059</v>
      </c>
    </row>
    <row r="34" spans="1:11" x14ac:dyDescent="0.35">
      <c r="A34" t="s">
        <v>264</v>
      </c>
      <c r="B34" t="s">
        <v>265</v>
      </c>
      <c r="C34" t="s">
        <v>12</v>
      </c>
      <c r="D34" t="str">
        <f t="shared" si="2"/>
        <v>Golden Grove_Cu concentrate</v>
      </c>
      <c r="E34" t="s">
        <v>10</v>
      </c>
      <c r="F34">
        <f>SUM(EnergyData_Processed!G46)</f>
        <v>567268.48800000001</v>
      </c>
      <c r="G34" t="s">
        <v>9</v>
      </c>
      <c r="H34" s="3">
        <f>VLOOKUP(D34,ProductionData_Processed!$E:$J,5,FALSE)</f>
        <v>18096</v>
      </c>
      <c r="I34" s="13">
        <f>VLOOKUP(D34,ProductionData_Processed!$E:$L,8,FALSE)</f>
        <v>0.4663598153437043</v>
      </c>
      <c r="J34" s="3">
        <f t="shared" si="3"/>
        <v>14.619320695953931</v>
      </c>
      <c r="K34">
        <f>SUM(J34:J35)</f>
        <v>23.424094016490798</v>
      </c>
    </row>
    <row r="35" spans="1:11" x14ac:dyDescent="0.35">
      <c r="A35" t="s">
        <v>264</v>
      </c>
      <c r="B35" t="s">
        <v>265</v>
      </c>
      <c r="C35" t="s">
        <v>12</v>
      </c>
      <c r="D35" t="str">
        <f t="shared" si="2"/>
        <v>Golden Grove_Cu concentrate</v>
      </c>
      <c r="E35" t="s">
        <v>372</v>
      </c>
      <c r="F35">
        <f>SUM(EnergyData_Processed!G45)</f>
        <v>341648.60000000003</v>
      </c>
      <c r="G35" t="s">
        <v>9</v>
      </c>
      <c r="H35" s="3">
        <f>VLOOKUP(D35,ProductionData_Processed!$E:$J,5,FALSE)</f>
        <v>18096</v>
      </c>
      <c r="I35" s="13">
        <f>VLOOKUP(D35,ProductionData_Processed!$E:$L,8,FALSE)</f>
        <v>0.4663598153437043</v>
      </c>
      <c r="J35" s="3">
        <f t="shared" si="3"/>
        <v>8.8047733205368655</v>
      </c>
    </row>
    <row r="36" spans="1:11" x14ac:dyDescent="0.35">
      <c r="A36" t="s">
        <v>91</v>
      </c>
      <c r="B36" t="s">
        <v>92</v>
      </c>
      <c r="C36" t="s">
        <v>12</v>
      </c>
      <c r="D36" t="str">
        <f t="shared" si="2"/>
        <v>Jiama_Cu concentrate</v>
      </c>
      <c r="E36" t="s">
        <v>393</v>
      </c>
      <c r="F36">
        <f>EnergyData_Processed!G55</f>
        <v>711900</v>
      </c>
      <c r="G36" t="s">
        <v>9</v>
      </c>
      <c r="H36" s="3">
        <f>VLOOKUP(D36,ProductionData_Processed!$E:$J,5,FALSE)</f>
        <v>20051</v>
      </c>
      <c r="I36" s="13">
        <f>VLOOKUP(D36,ProductionData_Processed!$E:$L,8,FALSE)</f>
        <v>0.52417445648171346</v>
      </c>
      <c r="J36" s="3">
        <f t="shared" si="3"/>
        <v>18.610532919521809</v>
      </c>
      <c r="K36">
        <f>J36</f>
        <v>18.610532919521809</v>
      </c>
    </row>
    <row r="37" spans="1:11" x14ac:dyDescent="0.35">
      <c r="A37" t="s">
        <v>232</v>
      </c>
      <c r="B37" t="s">
        <v>254</v>
      </c>
      <c r="C37" t="s">
        <v>12</v>
      </c>
      <c r="D37" t="str">
        <f t="shared" si="2"/>
        <v>Las Bambas_Cu concentrate</v>
      </c>
      <c r="E37" t="s">
        <v>10</v>
      </c>
      <c r="F37">
        <f>SUM(EnergyData_Processed!G57)</f>
        <v>4719188</v>
      </c>
      <c r="G37" t="s">
        <v>9</v>
      </c>
      <c r="H37" s="3">
        <f>VLOOKUP(D37,ProductionData_Processed!$E:$J,5,FALSE)</f>
        <v>302033</v>
      </c>
      <c r="I37" s="13">
        <f>VLOOKUP(D37,ProductionData_Processed!$E:$L,8,FALSE)</f>
        <v>0.83039061098526279</v>
      </c>
      <c r="J37" s="3">
        <f t="shared" si="3"/>
        <v>12.974639879332127</v>
      </c>
      <c r="K37">
        <f>SUM(J37:J38)</f>
        <v>32.728472101851807</v>
      </c>
    </row>
    <row r="38" spans="1:11" x14ac:dyDescent="0.35">
      <c r="A38" t="s">
        <v>232</v>
      </c>
      <c r="B38" t="s">
        <v>254</v>
      </c>
      <c r="C38" t="s">
        <v>12</v>
      </c>
      <c r="D38" t="str">
        <f t="shared" si="2"/>
        <v>Las Bambas_Cu concentrate</v>
      </c>
      <c r="E38" t="s">
        <v>372</v>
      </c>
      <c r="F38">
        <f>SUM(EnergyData_Processed!G56)</f>
        <v>7184943</v>
      </c>
      <c r="G38" t="s">
        <v>9</v>
      </c>
      <c r="H38" s="3">
        <f>VLOOKUP(D38,ProductionData_Processed!$E:$J,5,FALSE)</f>
        <v>302033</v>
      </c>
      <c r="I38" s="13">
        <f>VLOOKUP(D38,ProductionData_Processed!$E:$L,8,FALSE)</f>
        <v>0.83039061098526279</v>
      </c>
      <c r="J38" s="3">
        <f t="shared" si="3"/>
        <v>19.75383222251968</v>
      </c>
    </row>
    <row r="39" spans="1:11" x14ac:dyDescent="0.35">
      <c r="A39" t="s">
        <v>4</v>
      </c>
      <c r="B39" t="s">
        <v>37</v>
      </c>
      <c r="C39" t="s">
        <v>12</v>
      </c>
      <c r="D39" t="str">
        <f t="shared" si="2"/>
        <v>North Queensland_Cu concentrate</v>
      </c>
      <c r="E39" t="s">
        <v>372</v>
      </c>
      <c r="F39">
        <f>SUM(EnergyData_Processed!G58)</f>
        <v>131511</v>
      </c>
      <c r="G39" t="s">
        <v>9</v>
      </c>
      <c r="H39" s="3">
        <f>VLOOKUP(D39,ProductionData_Processed!$E:$J,5,FALSE)</f>
        <v>6803</v>
      </c>
      <c r="I39" s="13">
        <f>VLOOKUP(D39,ProductionData_Processed!$E:$L,8,FALSE)</f>
        <v>0.83459681741986069</v>
      </c>
      <c r="J39" s="3">
        <f t="shared" si="3"/>
        <v>16.133861833853196</v>
      </c>
      <c r="K39">
        <f>J39</f>
        <v>16.133861833853196</v>
      </c>
    </row>
    <row r="40" spans="1:11" x14ac:dyDescent="0.35">
      <c r="A40" t="s">
        <v>41</v>
      </c>
      <c r="B40" t="s">
        <v>42</v>
      </c>
      <c r="C40" t="s">
        <v>12</v>
      </c>
      <c r="D40" t="str">
        <f t="shared" si="2"/>
        <v>Riotinto_Cu concentrate</v>
      </c>
      <c r="E40" t="s">
        <v>10</v>
      </c>
      <c r="F40" s="2">
        <f>SUM(EnergyData_Processed!G60)</f>
        <v>1324181.6099999999</v>
      </c>
      <c r="G40" t="s">
        <v>9</v>
      </c>
      <c r="H40" s="3">
        <f>VLOOKUP(D40,ProductionData_Processed!$E:$J,5,FALSE)</f>
        <v>51667</v>
      </c>
      <c r="I40" s="13">
        <f>VLOOKUP(D40,ProductionData_Processed!$E:$L,8,FALSE)</f>
        <v>1</v>
      </c>
      <c r="J40" s="3">
        <f t="shared" si="3"/>
        <v>25.629156134476549</v>
      </c>
      <c r="K40">
        <f>SUM(J40:J41)</f>
        <v>45.4359960903478</v>
      </c>
    </row>
    <row r="41" spans="1:11" x14ac:dyDescent="0.35">
      <c r="A41" t="s">
        <v>41</v>
      </c>
      <c r="B41" t="s">
        <v>42</v>
      </c>
      <c r="C41" t="s">
        <v>12</v>
      </c>
      <c r="D41" t="str">
        <f t="shared" si="2"/>
        <v>Riotinto_Cu concentrate</v>
      </c>
      <c r="E41" t="s">
        <v>372</v>
      </c>
      <c r="F41">
        <f>SUM(EnergyData_Processed!G59)</f>
        <v>1023360.0000000001</v>
      </c>
      <c r="G41" t="s">
        <v>9</v>
      </c>
      <c r="H41" s="3">
        <f>VLOOKUP(D41,ProductionData_Processed!$E:$J,5,FALSE)</f>
        <v>51667</v>
      </c>
      <c r="I41" s="13">
        <f>VLOOKUP(D41,ProductionData_Processed!$E:$L,8,FALSE)</f>
        <v>1</v>
      </c>
      <c r="J41" s="3">
        <f t="shared" si="3"/>
        <v>19.806839955871254</v>
      </c>
    </row>
    <row r="42" spans="1:11" x14ac:dyDescent="0.35">
      <c r="A42" t="s">
        <v>294</v>
      </c>
      <c r="B42" t="s">
        <v>294</v>
      </c>
      <c r="C42" t="s">
        <v>12</v>
      </c>
      <c r="D42" t="str">
        <f t="shared" si="2"/>
        <v>Sierra Gorda_Cu concentrate</v>
      </c>
      <c r="E42" t="s">
        <v>10</v>
      </c>
      <c r="F42">
        <f>SUM(EnergyData_Processed!G64)</f>
        <v>4187043.5255999998</v>
      </c>
      <c r="G42" t="s">
        <v>9</v>
      </c>
      <c r="H42" s="3">
        <f>VLOOKUP(D42,ProductionData_Processed!$E:$J,5,FALSE)</f>
        <v>101959</v>
      </c>
      <c r="I42" s="13">
        <f>VLOOKUP(D42,ProductionData_Processed!$E:$L,8,FALSE)</f>
        <v>0.58804370215972945</v>
      </c>
      <c r="J42" s="3">
        <f t="shared" si="3"/>
        <v>24.148575171370354</v>
      </c>
      <c r="K42">
        <f>SUM(J42:J43)</f>
        <v>49.30869275277653</v>
      </c>
    </row>
    <row r="43" spans="1:11" x14ac:dyDescent="0.35">
      <c r="A43" t="s">
        <v>294</v>
      </c>
      <c r="B43" t="s">
        <v>294</v>
      </c>
      <c r="C43" t="s">
        <v>12</v>
      </c>
      <c r="D43" t="str">
        <f t="shared" si="2"/>
        <v>Sierra Gorda_Cu concentrate</v>
      </c>
      <c r="E43" t="s">
        <v>372</v>
      </c>
      <c r="F43">
        <f>SUM(EnergyData_Processed!G63)</f>
        <v>4362431.6000000006</v>
      </c>
      <c r="G43" t="s">
        <v>9</v>
      </c>
      <c r="H43" s="3">
        <f>VLOOKUP(D43,ProductionData_Processed!$E:$J,5,FALSE)</f>
        <v>101959</v>
      </c>
      <c r="I43" s="13">
        <f>VLOOKUP(D43,ProductionData_Processed!$E:$L,8,FALSE)</f>
        <v>0.58804370215972945</v>
      </c>
      <c r="J43" s="3">
        <f t="shared" si="3"/>
        <v>25.160117581406176</v>
      </c>
    </row>
    <row r="44" spans="1:11" x14ac:dyDescent="0.35">
      <c r="A44" t="s">
        <v>4</v>
      </c>
      <c r="B44" t="s">
        <v>5</v>
      </c>
      <c r="C44" t="s">
        <v>12</v>
      </c>
      <c r="D44" t="str">
        <f t="shared" si="2"/>
        <v>Tritton_Cu concentrate</v>
      </c>
      <c r="E44" t="s">
        <v>10</v>
      </c>
      <c r="F44">
        <f>SUM(EnergyData_Processed!G66)</f>
        <v>302270</v>
      </c>
      <c r="G44" t="s">
        <v>9</v>
      </c>
      <c r="H44" s="3">
        <f>VLOOKUP(D44,ProductionData_Processed!$E:$J,5,FALSE)</f>
        <v>19700</v>
      </c>
      <c r="I44" s="13">
        <f>VLOOKUP(D44,ProductionData_Processed!$E:$L,8,FALSE)</f>
        <v>0.91166101038207215</v>
      </c>
      <c r="J44" s="3">
        <f t="shared" si="3"/>
        <v>13.988211858283703</v>
      </c>
      <c r="K44">
        <f>SUM(J44:J45)</f>
        <v>29.66429234761641</v>
      </c>
    </row>
    <row r="45" spans="1:11" x14ac:dyDescent="0.35">
      <c r="A45" t="s">
        <v>4</v>
      </c>
      <c r="B45" t="s">
        <v>5</v>
      </c>
      <c r="C45" t="s">
        <v>12</v>
      </c>
      <c r="D45" t="str">
        <f t="shared" si="2"/>
        <v>Tritton_Cu concentrate</v>
      </c>
      <c r="E45" t="s">
        <v>372</v>
      </c>
      <c r="F45">
        <f>SUM(EnergyData_Processed!G65)</f>
        <v>338743</v>
      </c>
      <c r="G45" t="s">
        <v>9</v>
      </c>
      <c r="H45" s="3">
        <f>VLOOKUP(D45,ProductionData_Processed!$E:$J,5,FALSE)</f>
        <v>19700</v>
      </c>
      <c r="I45" s="13">
        <f>VLOOKUP(D45,ProductionData_Processed!$E:$L,8,FALSE)</f>
        <v>0.91166101038207215</v>
      </c>
      <c r="J45" s="3">
        <f t="shared" si="3"/>
        <v>15.676080489332705</v>
      </c>
    </row>
    <row r="46" spans="1:11" x14ac:dyDescent="0.35">
      <c r="A46" t="s">
        <v>104</v>
      </c>
      <c r="B46" t="s">
        <v>115</v>
      </c>
      <c r="C46" t="s">
        <v>12</v>
      </c>
      <c r="D46" t="str">
        <f t="shared" si="2"/>
        <v>Tucuma_Cu concentrate</v>
      </c>
      <c r="E46" t="s">
        <v>10</v>
      </c>
      <c r="F46">
        <f>SUM(EnergyData_Processed!G69)</f>
        <v>1681</v>
      </c>
      <c r="G46" t="s">
        <v>9</v>
      </c>
      <c r="H46" s="3">
        <f>VLOOKUP(D46,ProductionData_Processed!$E:$J,5,FALSE)</f>
        <v>5156</v>
      </c>
      <c r="I46" s="13">
        <f>VLOOKUP(D46,ProductionData_Processed!$E:$L,8,FALSE)</f>
        <v>1</v>
      </c>
      <c r="J46" s="3">
        <f t="shared" si="3"/>
        <v>0.32602792862684249</v>
      </c>
      <c r="K46">
        <f>SUM(J46:J47)</f>
        <v>36.821955003878976</v>
      </c>
    </row>
    <row r="47" spans="1:11" x14ac:dyDescent="0.35">
      <c r="A47" t="s">
        <v>104</v>
      </c>
      <c r="B47" t="s">
        <v>115</v>
      </c>
      <c r="C47" t="s">
        <v>12</v>
      </c>
      <c r="D47" t="str">
        <f t="shared" si="2"/>
        <v>Tucuma_Cu concentrate</v>
      </c>
      <c r="E47" t="s">
        <v>372</v>
      </c>
      <c r="F47">
        <f>SUM(EnergyData_Processed!G67:G68)</f>
        <v>188173</v>
      </c>
      <c r="G47" t="s">
        <v>9</v>
      </c>
      <c r="H47" s="3">
        <f>VLOOKUP(D47,ProductionData_Processed!$E:$J,5,FALSE)</f>
        <v>5156</v>
      </c>
      <c r="I47" s="13">
        <f>VLOOKUP(D47,ProductionData_Processed!$E:$L,8,FALSE)</f>
        <v>1</v>
      </c>
      <c r="J47" s="3">
        <f t="shared" si="3"/>
        <v>36.495927075252133</v>
      </c>
    </row>
    <row r="48" spans="1:11" x14ac:dyDescent="0.35">
      <c r="A48" t="s">
        <v>50</v>
      </c>
      <c r="B48" t="s">
        <v>62</v>
      </c>
      <c r="C48" t="s">
        <v>12</v>
      </c>
      <c r="D48" t="str">
        <f t="shared" si="2"/>
        <v>Mantos Blancos_Cu concentrate</v>
      </c>
      <c r="E48" t="s">
        <v>10</v>
      </c>
      <c r="F48">
        <f>SUM(EnergyData_Processed!G86)</f>
        <v>863004</v>
      </c>
      <c r="G48" t="s">
        <v>9</v>
      </c>
      <c r="H48" s="3">
        <f>VLOOKUP(D48,ProductionData_Processed!$E:$J,5,FALSE)</f>
        <v>34961</v>
      </c>
      <c r="I48" s="13">
        <f>VLOOKUP(D48,ProductionData_Processed!$E:$L,8,FALSE)</f>
        <v>0.64761836548475604</v>
      </c>
      <c r="J48" s="3">
        <f t="shared" si="3"/>
        <v>15.986305880461268</v>
      </c>
      <c r="K48">
        <f>SUM(J48:J49)</f>
        <v>50.427595652590234</v>
      </c>
    </row>
    <row r="49" spans="1:11" x14ac:dyDescent="0.35">
      <c r="A49" t="s">
        <v>50</v>
      </c>
      <c r="B49" t="s">
        <v>62</v>
      </c>
      <c r="C49" t="s">
        <v>12</v>
      </c>
      <c r="D49" t="str">
        <f t="shared" si="2"/>
        <v>Mantos Blancos_Cu concentrate</v>
      </c>
      <c r="E49" t="s">
        <v>372</v>
      </c>
      <c r="F49">
        <f>SUM(EnergyData_Processed!G85)</f>
        <v>1859277</v>
      </c>
      <c r="G49" t="s">
        <v>9</v>
      </c>
      <c r="H49" s="3">
        <f>VLOOKUP(D49,ProductionData_Processed!$E:$J,5,FALSE)</f>
        <v>34961</v>
      </c>
      <c r="I49" s="13">
        <f>VLOOKUP(D49,ProductionData_Processed!$E:$L,8,FALSE)</f>
        <v>0.64761836548475604</v>
      </c>
      <c r="J49" s="3">
        <f t="shared" si="3"/>
        <v>34.441289772128968</v>
      </c>
    </row>
    <row r="50" spans="1:11" x14ac:dyDescent="0.35">
      <c r="A50" t="s">
        <v>50</v>
      </c>
      <c r="B50" t="s">
        <v>51</v>
      </c>
      <c r="C50" t="s">
        <v>12</v>
      </c>
      <c r="D50" t="str">
        <f t="shared" si="2"/>
        <v>Pinto Valley_Cu concentrate</v>
      </c>
      <c r="E50" t="s">
        <v>10</v>
      </c>
      <c r="F50">
        <f>SUM(EnergyData_Processed!G95)</f>
        <v>1201840</v>
      </c>
      <c r="G50" t="s">
        <v>9</v>
      </c>
      <c r="H50" s="3">
        <f>VLOOKUP(D50,ProductionData_Processed!$E:$J,5,FALSE)</f>
        <v>54222</v>
      </c>
      <c r="I50" s="13">
        <f>VLOOKUP(D50,ProductionData_Processed!$E:$L,8,FALSE)</f>
        <v>0.94323984835067864</v>
      </c>
      <c r="J50" s="3">
        <f t="shared" si="3"/>
        <v>20.907074238164945</v>
      </c>
      <c r="K50">
        <f>SUM(J50:J51)</f>
        <v>45.794553836159182</v>
      </c>
    </row>
    <row r="51" spans="1:11" x14ac:dyDescent="0.35">
      <c r="A51" t="s">
        <v>50</v>
      </c>
      <c r="B51" t="s">
        <v>51</v>
      </c>
      <c r="C51" t="s">
        <v>12</v>
      </c>
      <c r="D51" t="str">
        <f t="shared" si="2"/>
        <v>Pinto Valley_Cu concentrate</v>
      </c>
      <c r="E51" t="s">
        <v>372</v>
      </c>
      <c r="F51">
        <f>SUM(EnergyData_Processed!G94)</f>
        <v>1430653</v>
      </c>
      <c r="G51" t="s">
        <v>9</v>
      </c>
      <c r="H51" s="3">
        <f>VLOOKUP(D51,ProductionData_Processed!$E:$J,5,FALSE)</f>
        <v>54222</v>
      </c>
      <c r="I51" s="13">
        <f>VLOOKUP(D51,ProductionData_Processed!$E:$L,8,FALSE)</f>
        <v>0.94323984835067864</v>
      </c>
      <c r="J51" s="3">
        <f t="shared" si="3"/>
        <v>24.887479597994236</v>
      </c>
    </row>
    <row r="52" spans="1:11" x14ac:dyDescent="0.35">
      <c r="A52" t="s">
        <v>380</v>
      </c>
      <c r="B52" t="s">
        <v>381</v>
      </c>
      <c r="C52" t="s">
        <v>12</v>
      </c>
      <c r="D52" t="str">
        <f t="shared" si="2"/>
        <v>Mina Justa _Cu concentrate</v>
      </c>
      <c r="E52" t="s">
        <v>372</v>
      </c>
      <c r="F52">
        <f>SUM(EnergyData_Processed!G101:G102)</f>
        <v>1464062.4000000001</v>
      </c>
      <c r="G52" t="s">
        <v>9</v>
      </c>
      <c r="H52" s="3">
        <f>VLOOKUP(D52,ProductionData_Processed!$E:$J,5,FALSE)</f>
        <v>107922</v>
      </c>
      <c r="I52" s="13">
        <f>VLOOKUP(D52,ProductionData_Processed!$E:$L,8,FALSE)</f>
        <v>0.72492134012579978</v>
      </c>
      <c r="J52" s="3">
        <f t="shared" si="3"/>
        <v>9.8342328444227753</v>
      </c>
      <c r="K52">
        <f>J52</f>
        <v>9.8342328444227753</v>
      </c>
    </row>
  </sheetData>
  <autoFilter ref="A1:J1" xr:uid="{0B03D4A4-DD22-4A02-B3B6-EA431D5A719C}">
    <sortState xmlns:xlrd2="http://schemas.microsoft.com/office/spreadsheetml/2017/richdata2" ref="A2:J55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D02F-6F63-41C8-B1F2-C3D1ABEA453E}">
  <dimension ref="A1:L91"/>
  <sheetViews>
    <sheetView zoomScale="80" zoomScaleNormal="80" workbookViewId="0">
      <selection activeCell="D35" sqref="D35"/>
    </sheetView>
  </sheetViews>
  <sheetFormatPr baseColWidth="10" defaultRowHeight="14.5" x14ac:dyDescent="0.35"/>
  <cols>
    <col min="1" max="1" width="22.81640625" bestFit="1" customWidth="1"/>
    <col min="2" max="2" width="21.7265625" bestFit="1" customWidth="1"/>
    <col min="3" max="3" width="16.54296875" customWidth="1"/>
    <col min="4" max="4" width="13.54296875" bestFit="1" customWidth="1"/>
    <col min="5" max="5" width="13.54296875" customWidth="1"/>
    <col min="6" max="6" width="48.1796875" bestFit="1" customWidth="1"/>
    <col min="7" max="7" width="12" bestFit="1" customWidth="1"/>
    <col min="9" max="9" width="15.1796875" customWidth="1"/>
    <col min="10" max="10" width="13.7265625" customWidth="1"/>
    <col min="11" max="11" width="20.81640625" customWidth="1"/>
    <col min="12" max="12" width="19.26953125" bestFit="1" customWidth="1"/>
  </cols>
  <sheetData>
    <row r="1" spans="1:12" x14ac:dyDescent="0.35">
      <c r="A1" s="1" t="s">
        <v>0</v>
      </c>
      <c r="B1" s="1" t="s">
        <v>1</v>
      </c>
      <c r="C1" s="1" t="s">
        <v>317</v>
      </c>
      <c r="D1" s="1" t="s">
        <v>374</v>
      </c>
      <c r="E1" s="1" t="s">
        <v>375</v>
      </c>
      <c r="F1" s="1" t="s">
        <v>2</v>
      </c>
      <c r="G1" s="1" t="s">
        <v>320</v>
      </c>
      <c r="H1" s="1" t="s">
        <v>321</v>
      </c>
      <c r="I1" s="1" t="s">
        <v>323</v>
      </c>
      <c r="J1" s="1" t="s">
        <v>324</v>
      </c>
      <c r="K1" s="1" t="s">
        <v>363</v>
      </c>
      <c r="L1" s="1" t="s">
        <v>370</v>
      </c>
    </row>
    <row r="2" spans="1:12" x14ac:dyDescent="0.35">
      <c r="A2" t="s">
        <v>80</v>
      </c>
      <c r="B2" t="s">
        <v>81</v>
      </c>
      <c r="C2" t="str">
        <f>VLOOKUP(B2,EnergyData_Processed!$B$2:$C$102,2,FALSE)</f>
        <v>Cu cathode</v>
      </c>
      <c r="D2" t="s">
        <v>319</v>
      </c>
      <c r="E2" t="str">
        <f>CONCATENATE(B2,"_",D2)</f>
        <v>Kounrad_Cu cathode</v>
      </c>
      <c r="F2" t="s">
        <v>90</v>
      </c>
      <c r="G2">
        <v>13816</v>
      </c>
      <c r="H2" t="s">
        <v>17</v>
      </c>
      <c r="I2">
        <f>G2</f>
        <v>13816</v>
      </c>
      <c r="J2" t="s">
        <v>17</v>
      </c>
      <c r="K2">
        <f>I2*Parameters!B11</f>
        <v>142760728</v>
      </c>
      <c r="L2" s="18">
        <f>K2/K2</f>
        <v>1</v>
      </c>
    </row>
    <row r="3" spans="1:12" x14ac:dyDescent="0.35">
      <c r="A3" t="s">
        <v>120</v>
      </c>
      <c r="B3" t="s">
        <v>168</v>
      </c>
      <c r="C3" t="str">
        <f>VLOOKUP(B3,EnergyData_Processed!$B$2:$C$102,2,FALSE)</f>
        <v>Cu cathode</v>
      </c>
      <c r="D3" t="s">
        <v>319</v>
      </c>
      <c r="E3" t="str">
        <f t="shared" ref="E3:E66" si="0">CONCATENATE(B3,"_",D3)</f>
        <v>Tyrone_Cu cathode</v>
      </c>
      <c r="F3" t="s">
        <v>158</v>
      </c>
      <c r="G3">
        <v>23133</v>
      </c>
      <c r="H3" t="s">
        <v>59</v>
      </c>
      <c r="I3">
        <f>G3</f>
        <v>23133</v>
      </c>
      <c r="J3" t="s">
        <v>17</v>
      </c>
      <c r="K3">
        <f>I3*Parameters!B11</f>
        <v>239033289</v>
      </c>
      <c r="L3" s="18">
        <f>K3/K3</f>
        <v>1</v>
      </c>
    </row>
    <row r="4" spans="1:12" x14ac:dyDescent="0.35">
      <c r="A4" t="s">
        <v>120</v>
      </c>
      <c r="B4" t="s">
        <v>185</v>
      </c>
      <c r="C4" t="str">
        <f>VLOOKUP(B4,EnergyData_Processed!$B$2:$C$102,2,FALSE)</f>
        <v>Cu cathode</v>
      </c>
      <c r="D4" t="s">
        <v>319</v>
      </c>
      <c r="E4" t="str">
        <f t="shared" si="0"/>
        <v>El Abra_Cu cathode</v>
      </c>
      <c r="F4" t="s">
        <v>39</v>
      </c>
      <c r="G4">
        <v>98429</v>
      </c>
      <c r="H4" t="s">
        <v>59</v>
      </c>
      <c r="I4">
        <f>G4</f>
        <v>98429</v>
      </c>
      <c r="J4" t="s">
        <v>17</v>
      </c>
      <c r="K4">
        <f>I4*Parameters!B11</f>
        <v>1017066857</v>
      </c>
      <c r="L4" s="14">
        <f>K4/SUM($K$4:$K$7)</f>
        <v>1</v>
      </c>
    </row>
    <row r="5" spans="1:12" x14ac:dyDescent="0.35">
      <c r="A5" t="s">
        <v>120</v>
      </c>
      <c r="B5" t="s">
        <v>185</v>
      </c>
      <c r="C5" t="str">
        <f>VLOOKUP(B5,EnergyData_Processed!$B$2:$C$102,2,FALSE)</f>
        <v>Cu cathode</v>
      </c>
      <c r="D5" t="s">
        <v>344</v>
      </c>
      <c r="E5" t="str">
        <f t="shared" si="0"/>
        <v>El Abra_Au metal</v>
      </c>
      <c r="F5" t="s">
        <v>40</v>
      </c>
      <c r="G5">
        <v>0</v>
      </c>
      <c r="H5" t="s">
        <v>20</v>
      </c>
      <c r="I5">
        <f>G5*Parameters!D3</f>
        <v>0</v>
      </c>
      <c r="J5" t="s">
        <v>17</v>
      </c>
      <c r="K5" s="5">
        <f>I5*Parameters!B13</f>
        <v>0</v>
      </c>
      <c r="L5" s="13">
        <f>K5/SUM($K$4:$K$7)</f>
        <v>0</v>
      </c>
    </row>
    <row r="6" spans="1:12" x14ac:dyDescent="0.35">
      <c r="A6" t="s">
        <v>120</v>
      </c>
      <c r="B6" t="s">
        <v>185</v>
      </c>
      <c r="C6" t="str">
        <f>VLOOKUP(B6,EnergyData_Processed!$B$2:$C$102,2,FALSE)</f>
        <v>Cu cathode</v>
      </c>
      <c r="D6" t="s">
        <v>359</v>
      </c>
      <c r="E6" t="str">
        <f t="shared" si="0"/>
        <v>El Abra_Mo metal</v>
      </c>
      <c r="F6" t="s">
        <v>184</v>
      </c>
      <c r="G6">
        <v>0</v>
      </c>
      <c r="H6" t="s">
        <v>59</v>
      </c>
      <c r="I6">
        <f>G6</f>
        <v>0</v>
      </c>
      <c r="J6" t="s">
        <v>17</v>
      </c>
      <c r="K6">
        <f>I6*Parameters!B21</f>
        <v>0</v>
      </c>
      <c r="L6" s="13">
        <f>K6/SUM($K$4:$K$7)</f>
        <v>0</v>
      </c>
    </row>
    <row r="7" spans="1:12" x14ac:dyDescent="0.35">
      <c r="A7" t="s">
        <v>120</v>
      </c>
      <c r="B7" t="s">
        <v>185</v>
      </c>
      <c r="C7" t="str">
        <f>VLOOKUP(B7,EnergyData_Processed!$B$2:$C$102,2,FALSE)</f>
        <v>Cu cathode</v>
      </c>
      <c r="D7" t="s">
        <v>346</v>
      </c>
      <c r="E7" t="str">
        <f t="shared" si="0"/>
        <v>El Abra_Ag metal</v>
      </c>
      <c r="F7" t="s">
        <v>174</v>
      </c>
      <c r="G7">
        <v>0</v>
      </c>
      <c r="H7" t="s">
        <v>20</v>
      </c>
      <c r="I7">
        <f>G7*Parameters!D3</f>
        <v>0</v>
      </c>
      <c r="J7" t="s">
        <v>17</v>
      </c>
      <c r="K7" s="5">
        <f>I7*Parameters!B15</f>
        <v>0</v>
      </c>
      <c r="L7" s="13">
        <f>K7/SUM($K$4:$K$7)</f>
        <v>0</v>
      </c>
    </row>
    <row r="8" spans="1:12" x14ac:dyDescent="0.35">
      <c r="A8" t="s">
        <v>120</v>
      </c>
      <c r="B8" t="s">
        <v>204</v>
      </c>
      <c r="C8" t="str">
        <f>VLOOKUP(B8,EnergyData_Processed!$B$2:$C$102,2,FALSE)</f>
        <v>Cu cathode</v>
      </c>
      <c r="D8" t="s">
        <v>319</v>
      </c>
      <c r="E8" t="str">
        <f t="shared" si="0"/>
        <v>Safford_Cu cathode</v>
      </c>
      <c r="F8" t="s">
        <v>133</v>
      </c>
      <c r="G8" s="7">
        <v>111130</v>
      </c>
      <c r="H8" t="s">
        <v>59</v>
      </c>
      <c r="I8">
        <f>G8</f>
        <v>111130</v>
      </c>
      <c r="J8" t="s">
        <v>17</v>
      </c>
      <c r="K8">
        <f>I8*Parameters!B11</f>
        <v>1148306290</v>
      </c>
      <c r="L8" s="18">
        <f>K8/K8</f>
        <v>1</v>
      </c>
    </row>
    <row r="9" spans="1:12" x14ac:dyDescent="0.35">
      <c r="A9" t="s">
        <v>232</v>
      </c>
      <c r="B9" t="s">
        <v>233</v>
      </c>
      <c r="C9" t="str">
        <f>VLOOKUP(B9,EnergyData_Processed!$B$2:$C$102,2,FALSE)</f>
        <v>Cu cathode</v>
      </c>
      <c r="D9" t="s">
        <v>366</v>
      </c>
      <c r="E9" t="str">
        <f t="shared" si="0"/>
        <v>Kinsevere_Co metal</v>
      </c>
      <c r="F9" t="s">
        <v>238</v>
      </c>
      <c r="G9">
        <v>105</v>
      </c>
      <c r="H9" t="s">
        <v>59</v>
      </c>
      <c r="I9">
        <f>G9</f>
        <v>105</v>
      </c>
      <c r="J9" t="s">
        <v>17</v>
      </c>
      <c r="K9">
        <f>I9*Parameters!B23</f>
        <v>3284610</v>
      </c>
      <c r="L9" s="13">
        <f>K9/SUM($K$9:$K$10)</f>
        <v>7.1616416853843914E-3</v>
      </c>
    </row>
    <row r="10" spans="1:12" x14ac:dyDescent="0.35">
      <c r="A10" t="s">
        <v>232</v>
      </c>
      <c r="B10" t="s">
        <v>233</v>
      </c>
      <c r="C10" t="str">
        <f>VLOOKUP(B10,EnergyData_Processed!$B$2:$C$102,2,FALSE)</f>
        <v>Cu cathode</v>
      </c>
      <c r="D10" t="s">
        <v>319</v>
      </c>
      <c r="E10" t="str">
        <f t="shared" si="0"/>
        <v>Kinsevere_Cu cathode</v>
      </c>
      <c r="F10" t="s">
        <v>239</v>
      </c>
      <c r="G10">
        <v>44068</v>
      </c>
      <c r="H10" t="s">
        <v>59</v>
      </c>
      <c r="I10">
        <f>G10</f>
        <v>44068</v>
      </c>
      <c r="J10" t="s">
        <v>17</v>
      </c>
      <c r="K10">
        <f>I10*Parameters!B11</f>
        <v>455354644</v>
      </c>
      <c r="L10" s="14">
        <f>K10/SUM($K$9:$K$10)</f>
        <v>0.99283835831461564</v>
      </c>
    </row>
    <row r="11" spans="1:12" x14ac:dyDescent="0.35">
      <c r="A11" t="s">
        <v>278</v>
      </c>
      <c r="B11" t="s">
        <v>279</v>
      </c>
      <c r="C11" t="str">
        <f>VLOOKUP(B11,EnergyData_Processed!$B$2:$C$102,2,FALSE)</f>
        <v>Cu cathode</v>
      </c>
      <c r="D11" t="s">
        <v>319</v>
      </c>
      <c r="E11" t="str">
        <f t="shared" si="0"/>
        <v>Wetar_Cu cathode</v>
      </c>
      <c r="F11" t="s">
        <v>239</v>
      </c>
      <c r="G11">
        <v>19045</v>
      </c>
      <c r="H11" t="s">
        <v>285</v>
      </c>
      <c r="I11">
        <f>G11</f>
        <v>19045</v>
      </c>
      <c r="J11" t="s">
        <v>17</v>
      </c>
      <c r="K11">
        <f>I11*Parameters!B11</f>
        <v>196791985</v>
      </c>
      <c r="L11" s="18">
        <f>K11/K11</f>
        <v>1</v>
      </c>
    </row>
    <row r="12" spans="1:12" x14ac:dyDescent="0.35">
      <c r="A12" t="s">
        <v>4</v>
      </c>
      <c r="B12" t="s">
        <v>5</v>
      </c>
      <c r="C12" t="str">
        <f>VLOOKUP(B12,EnergyData_Processed!$B$2:$C$102,2,FALSE)</f>
        <v>Cu concentrate</v>
      </c>
      <c r="D12" t="s">
        <v>12</v>
      </c>
      <c r="E12" t="str">
        <f t="shared" si="0"/>
        <v>Tritton_Cu concentrate</v>
      </c>
      <c r="F12" t="s">
        <v>12</v>
      </c>
      <c r="G12">
        <v>19700</v>
      </c>
      <c r="H12" t="s">
        <v>17</v>
      </c>
      <c r="I12">
        <f>G12</f>
        <v>19700</v>
      </c>
      <c r="J12" t="s">
        <v>17</v>
      </c>
      <c r="K12">
        <f>I12*Parameters!B10</f>
        <v>195417696</v>
      </c>
      <c r="L12" s="14">
        <f>K12/SUM($K$12:$K$14)</f>
        <v>0.91166101038207215</v>
      </c>
    </row>
    <row r="13" spans="1:12" x14ac:dyDescent="0.35">
      <c r="A13" t="s">
        <v>4</v>
      </c>
      <c r="B13" t="s">
        <v>5</v>
      </c>
      <c r="C13" t="str">
        <f>VLOOKUP(B13,EnergyData_Processed!$B$2:$C$102,2,FALSE)</f>
        <v>Cu concentrate</v>
      </c>
      <c r="D13" t="s">
        <v>341</v>
      </c>
      <c r="E13" t="str">
        <f t="shared" si="0"/>
        <v>Tritton_Ag concentrate</v>
      </c>
      <c r="F13" t="s">
        <v>18</v>
      </c>
      <c r="G13">
        <v>156000</v>
      </c>
      <c r="H13" t="s">
        <v>20</v>
      </c>
      <c r="I13" s="3">
        <f>G13*Parameters!D3</f>
        <v>4.4225219999999998</v>
      </c>
      <c r="J13" s="3" t="s">
        <v>17</v>
      </c>
      <c r="K13">
        <f>I13*Parameters!B14</f>
        <v>3797177.3892000001</v>
      </c>
      <c r="L13" s="13">
        <f>K13/SUM($K$12:$K$14)</f>
        <v>1.7714560380642452E-2</v>
      </c>
    </row>
    <row r="14" spans="1:12" x14ac:dyDescent="0.35">
      <c r="A14" t="s">
        <v>4</v>
      </c>
      <c r="B14" t="s">
        <v>5</v>
      </c>
      <c r="C14" t="str">
        <f>VLOOKUP(B14,EnergyData_Processed!$B$2:$C$102,2,FALSE)</f>
        <v>Cu concentrate</v>
      </c>
      <c r="D14" t="s">
        <v>338</v>
      </c>
      <c r="E14" t="str">
        <f t="shared" si="0"/>
        <v>Tritton_Au concentrate</v>
      </c>
      <c r="F14" t="s">
        <v>21</v>
      </c>
      <c r="G14">
        <v>4899</v>
      </c>
      <c r="H14" t="s">
        <v>20</v>
      </c>
      <c r="I14" s="6">
        <f>G14*Parameters!D3</f>
        <v>0.1388842005</v>
      </c>
      <c r="J14" s="3" t="s">
        <v>17</v>
      </c>
      <c r="K14" s="5">
        <f>I14*Parameters!B12</f>
        <v>15138591.083413027</v>
      </c>
      <c r="L14" s="13">
        <f>K14/SUM($K$12:$K$14)</f>
        <v>7.0624429237285388E-2</v>
      </c>
    </row>
    <row r="15" spans="1:12" s="8" customFormat="1" x14ac:dyDescent="0.35">
      <c r="A15" s="8" t="s">
        <v>4</v>
      </c>
      <c r="B15" s="8" t="s">
        <v>23</v>
      </c>
      <c r="C15" s="8" t="str">
        <f>VLOOKUP(B15,EnergyData_Processed!$B$2:$C$102,2,FALSE)</f>
        <v>Cu concentrate</v>
      </c>
      <c r="D15" s="8" t="s">
        <v>12</v>
      </c>
      <c r="E15" s="8" t="str">
        <f t="shared" si="0"/>
        <v>Jaguar_Cu concentrate</v>
      </c>
      <c r="F15" s="8" t="s">
        <v>27</v>
      </c>
      <c r="G15" s="8">
        <v>0.6</v>
      </c>
      <c r="H15" s="8" t="s">
        <v>29</v>
      </c>
      <c r="I15" s="10">
        <f>G15*1000</f>
        <v>600</v>
      </c>
      <c r="J15" s="10" t="s">
        <v>17</v>
      </c>
      <c r="K15" s="8">
        <f>I15*Parameters!B10</f>
        <v>5951808</v>
      </c>
      <c r="L15" s="18">
        <f>K15/SUM($K$15:$K$18)</f>
        <v>0.33622809169259882</v>
      </c>
    </row>
    <row r="16" spans="1:12" s="8" customFormat="1" x14ac:dyDescent="0.35">
      <c r="A16" s="8" t="s">
        <v>4</v>
      </c>
      <c r="B16" s="8" t="s">
        <v>23</v>
      </c>
      <c r="C16" s="8" t="str">
        <f>VLOOKUP(B16,EnergyData_Processed!$B$2:$C$102,2,FALSE)</f>
        <v>Cu concentrate</v>
      </c>
      <c r="D16" s="8" t="s">
        <v>348</v>
      </c>
      <c r="E16" s="8" t="str">
        <f t="shared" si="0"/>
        <v>Jaguar_Zn concentrate</v>
      </c>
      <c r="F16" s="8" t="s">
        <v>30</v>
      </c>
      <c r="G16" s="8">
        <v>3.1</v>
      </c>
      <c r="H16" s="8" t="s">
        <v>29</v>
      </c>
      <c r="I16" s="10">
        <f>G16*1000</f>
        <v>3100</v>
      </c>
      <c r="J16" s="10" t="s">
        <v>17</v>
      </c>
      <c r="K16" s="8">
        <f>I16*Parameters!B16</f>
        <v>8469200</v>
      </c>
      <c r="L16" s="20">
        <f>K16/SUM($K$15:$K$18)</f>
        <v>0.4784399890189599</v>
      </c>
    </row>
    <row r="17" spans="1:12" s="8" customFormat="1" x14ac:dyDescent="0.35">
      <c r="A17" s="8" t="s">
        <v>4</v>
      </c>
      <c r="B17" s="8" t="s">
        <v>23</v>
      </c>
      <c r="C17" s="8" t="str">
        <f>VLOOKUP(B17,EnergyData_Processed!$B$2:$C$102,2,FALSE)</f>
        <v>Cu concentrate</v>
      </c>
      <c r="D17" s="8" t="s">
        <v>338</v>
      </c>
      <c r="E17" s="8" t="str">
        <f t="shared" si="0"/>
        <v>Jaguar_Au concentrate</v>
      </c>
      <c r="F17" s="8" t="s">
        <v>32</v>
      </c>
      <c r="G17" s="8">
        <v>0.4</v>
      </c>
      <c r="H17" s="8" t="s">
        <v>34</v>
      </c>
      <c r="I17" s="9">
        <f>G17*1000*Parameters!D3</f>
        <v>1.1339800000000001E-2</v>
      </c>
      <c r="J17" s="10" t="s">
        <v>17</v>
      </c>
      <c r="K17" s="11">
        <f>I17*Parameters!B12</f>
        <v>1236055.60999494</v>
      </c>
      <c r="L17" s="20">
        <f>K17/SUM($K$15:$K$18)</f>
        <v>6.9826953250933133E-2</v>
      </c>
    </row>
    <row r="18" spans="1:12" s="8" customFormat="1" x14ac:dyDescent="0.35">
      <c r="A18" s="8" t="s">
        <v>4</v>
      </c>
      <c r="B18" s="8" t="s">
        <v>23</v>
      </c>
      <c r="C18" s="8" t="str">
        <f>VLOOKUP(B18,EnergyData_Processed!$B$2:$C$102,2,FALSE)</f>
        <v>Cu concentrate</v>
      </c>
      <c r="D18" s="8" t="s">
        <v>341</v>
      </c>
      <c r="E18" s="8" t="str">
        <f t="shared" si="0"/>
        <v>Jaguar_Ag concentrate</v>
      </c>
      <c r="F18" s="8" t="s">
        <v>35</v>
      </c>
      <c r="G18" s="8">
        <v>84</v>
      </c>
      <c r="H18" s="8" t="s">
        <v>34</v>
      </c>
      <c r="I18" s="9">
        <f>G18*1000*Parameters!D3</f>
        <v>2.3813580000000001</v>
      </c>
      <c r="J18" s="10" t="s">
        <v>17</v>
      </c>
      <c r="K18" s="11">
        <f>I18*Parameters!B14</f>
        <v>2044633.9788000002</v>
      </c>
      <c r="L18" s="20">
        <f>K18/SUM($K$15:$K$18)</f>
        <v>0.11550496603750819</v>
      </c>
    </row>
    <row r="19" spans="1:12" x14ac:dyDescent="0.35">
      <c r="A19" t="s">
        <v>4</v>
      </c>
      <c r="B19" t="s">
        <v>37</v>
      </c>
      <c r="C19" t="str">
        <f>VLOOKUP(B19,EnergyData_Processed!$B$2:$C$102,2,FALSE)</f>
        <v>Cu concentrate</v>
      </c>
      <c r="D19" t="s">
        <v>12</v>
      </c>
      <c r="E19" t="str">
        <f t="shared" si="0"/>
        <v>North Queensland_Cu concentrate</v>
      </c>
      <c r="F19" t="s">
        <v>39</v>
      </c>
      <c r="G19">
        <v>6803</v>
      </c>
      <c r="H19" t="s">
        <v>17</v>
      </c>
      <c r="I19">
        <f t="shared" ref="I19:I27" si="1">G19</f>
        <v>6803</v>
      </c>
      <c r="J19" t="s">
        <v>17</v>
      </c>
      <c r="K19">
        <f>I19*Parameters!B10</f>
        <v>67483583.040000007</v>
      </c>
      <c r="L19" s="16">
        <f>K19/SUM($K$19:$K$20)</f>
        <v>0.83459681741986069</v>
      </c>
    </row>
    <row r="20" spans="1:12" x14ac:dyDescent="0.35">
      <c r="A20" t="s">
        <v>4</v>
      </c>
      <c r="B20" t="s">
        <v>37</v>
      </c>
      <c r="C20" t="str">
        <f>VLOOKUP(B20,EnergyData_Processed!$B$2:$C$102,2,FALSE)</f>
        <v>Cu concentrate</v>
      </c>
      <c r="D20" t="s">
        <v>338</v>
      </c>
      <c r="E20" t="str">
        <f t="shared" si="0"/>
        <v>North Queensland_Au concentrate</v>
      </c>
      <c r="F20" t="s">
        <v>40</v>
      </c>
      <c r="G20">
        <v>4328</v>
      </c>
      <c r="H20" t="s">
        <v>20</v>
      </c>
      <c r="I20" s="6">
        <f>G20*Parameters!D3</f>
        <v>0.122696636</v>
      </c>
      <c r="J20" s="3" t="s">
        <v>17</v>
      </c>
      <c r="K20">
        <f>I20*Parameters!B12</f>
        <v>13374121.70014525</v>
      </c>
      <c r="L20" s="17">
        <f>K20/SUM($K$19:$K$20)</f>
        <v>0.16540318258013942</v>
      </c>
    </row>
    <row r="21" spans="1:12" s="8" customFormat="1" x14ac:dyDescent="0.35">
      <c r="A21" s="8" t="s">
        <v>41</v>
      </c>
      <c r="B21" s="8" t="s">
        <v>42</v>
      </c>
      <c r="C21" s="8" t="str">
        <f>VLOOKUP(B21,EnergyData_Processed!$B$2:$C$102,2,FALSE)</f>
        <v>Cu concentrate</v>
      </c>
      <c r="D21" s="8" t="s">
        <v>369</v>
      </c>
      <c r="E21" s="8" t="str">
        <f t="shared" si="0"/>
        <v>Riotinto_NA</v>
      </c>
      <c r="F21" s="8" t="s">
        <v>47</v>
      </c>
      <c r="G21" s="8">
        <v>249321</v>
      </c>
      <c r="H21" s="8" t="s">
        <v>17</v>
      </c>
      <c r="I21" s="8">
        <f t="shared" si="1"/>
        <v>249321</v>
      </c>
      <c r="J21" s="8" t="s">
        <v>17</v>
      </c>
      <c r="K21" s="8" t="s">
        <v>369</v>
      </c>
      <c r="L21" s="8" t="s">
        <v>369</v>
      </c>
    </row>
    <row r="22" spans="1:12" x14ac:dyDescent="0.35">
      <c r="A22" t="s">
        <v>41</v>
      </c>
      <c r="B22" t="s">
        <v>42</v>
      </c>
      <c r="C22" t="str">
        <f>VLOOKUP(B22,EnergyData_Processed!$B$2:$C$102,2,FALSE)</f>
        <v>Cu concentrate</v>
      </c>
      <c r="D22" t="s">
        <v>12</v>
      </c>
      <c r="E22" t="str">
        <f t="shared" si="0"/>
        <v>Riotinto_Cu concentrate</v>
      </c>
      <c r="F22" t="s">
        <v>48</v>
      </c>
      <c r="G22">
        <v>51667</v>
      </c>
      <c r="H22" t="s">
        <v>17</v>
      </c>
      <c r="I22">
        <f t="shared" si="1"/>
        <v>51667</v>
      </c>
      <c r="J22" t="s">
        <v>17</v>
      </c>
      <c r="K22">
        <f>I22*Parameters!B10</f>
        <v>512520106.56</v>
      </c>
      <c r="L22" s="18">
        <f>K22/K22</f>
        <v>1</v>
      </c>
    </row>
    <row r="23" spans="1:12" x14ac:dyDescent="0.35">
      <c r="A23" t="s">
        <v>91</v>
      </c>
      <c r="B23" t="s">
        <v>92</v>
      </c>
      <c r="C23" t="str">
        <f>VLOOKUP(B23,EnergyData_Processed!$B$2:$C$102,2,FALSE)</f>
        <v>Cu concentrate</v>
      </c>
      <c r="D23" t="s">
        <v>12</v>
      </c>
      <c r="E23" t="str">
        <f t="shared" si="0"/>
        <v>Jiama_Cu concentrate</v>
      </c>
      <c r="F23" t="s">
        <v>39</v>
      </c>
      <c r="G23">
        <v>20051</v>
      </c>
      <c r="H23" t="s">
        <v>59</v>
      </c>
      <c r="I23">
        <f t="shared" si="1"/>
        <v>20051</v>
      </c>
      <c r="J23" t="s">
        <v>17</v>
      </c>
      <c r="K23">
        <f>I23*Parameters!B10</f>
        <v>198899503.68000001</v>
      </c>
      <c r="L23" s="15">
        <f t="shared" ref="L23:L28" si="2">K23/SUM($K$23:$K$28)</f>
        <v>0.52417445648171346</v>
      </c>
    </row>
    <row r="24" spans="1:12" x14ac:dyDescent="0.35">
      <c r="A24" t="s">
        <v>91</v>
      </c>
      <c r="B24" t="s">
        <v>92</v>
      </c>
      <c r="C24" t="str">
        <f>VLOOKUP(B24,EnergyData_Processed!$B$2:$C$102,2,FALSE)</f>
        <v>Cu concentrate</v>
      </c>
      <c r="D24" t="s">
        <v>338</v>
      </c>
      <c r="E24" t="str">
        <f t="shared" si="0"/>
        <v>Jiama_Au concentrate</v>
      </c>
      <c r="F24" t="s">
        <v>96</v>
      </c>
      <c r="G24">
        <v>19203</v>
      </c>
      <c r="H24" t="s">
        <v>20</v>
      </c>
      <c r="I24" s="6">
        <f>G24*Parameters!D3</f>
        <v>0.54439544849999999</v>
      </c>
      <c r="J24" s="3" t="s">
        <v>17</v>
      </c>
      <c r="K24">
        <f>I24*Parameters!B12</f>
        <v>59339939.696832076</v>
      </c>
      <c r="L24" s="13">
        <f t="shared" si="2"/>
        <v>0.15638289720565179</v>
      </c>
    </row>
    <row r="25" spans="1:12" x14ac:dyDescent="0.35">
      <c r="A25" t="s">
        <v>91</v>
      </c>
      <c r="B25" t="s">
        <v>92</v>
      </c>
      <c r="C25" t="str">
        <f>VLOOKUP(B25,EnergyData_Processed!$B$2:$C$102,2,FALSE)</f>
        <v>Cu concentrate</v>
      </c>
      <c r="D25" t="s">
        <v>358</v>
      </c>
      <c r="E25" t="str">
        <f t="shared" si="0"/>
        <v>Jiama_Mo concentrate</v>
      </c>
      <c r="F25" t="s">
        <v>97</v>
      </c>
      <c r="G25">
        <v>231</v>
      </c>
      <c r="H25" t="s">
        <v>59</v>
      </c>
      <c r="I25">
        <f t="shared" si="1"/>
        <v>231</v>
      </c>
      <c r="J25" t="s">
        <v>17</v>
      </c>
      <c r="K25">
        <f>I25*Parameters!B20</f>
        <v>10764600</v>
      </c>
      <c r="L25" s="13">
        <f t="shared" si="2"/>
        <v>2.8368740242414325E-2</v>
      </c>
    </row>
    <row r="26" spans="1:12" x14ac:dyDescent="0.35">
      <c r="A26" t="s">
        <v>91</v>
      </c>
      <c r="B26" t="s">
        <v>92</v>
      </c>
      <c r="C26" t="str">
        <f>VLOOKUP(B26,EnergyData_Processed!$B$2:$C$102,2,FALSE)</f>
        <v>Cu concentrate</v>
      </c>
      <c r="D26" t="s">
        <v>348</v>
      </c>
      <c r="E26" t="str">
        <f t="shared" si="0"/>
        <v>Jiama_Zn concentrate</v>
      </c>
      <c r="F26" t="s">
        <v>100</v>
      </c>
      <c r="G26">
        <v>4539.3236111111109</v>
      </c>
      <c r="H26" t="s">
        <v>59</v>
      </c>
      <c r="I26">
        <f t="shared" si="1"/>
        <v>4539.3236111111109</v>
      </c>
      <c r="J26" t="s">
        <v>17</v>
      </c>
      <c r="K26">
        <f>I26*Parameters!B16</f>
        <v>12401432.105555555</v>
      </c>
      <c r="L26" s="13">
        <f t="shared" si="2"/>
        <v>3.2682403994244366E-2</v>
      </c>
    </row>
    <row r="27" spans="1:12" x14ac:dyDescent="0.35">
      <c r="A27" t="s">
        <v>91</v>
      </c>
      <c r="B27" t="s">
        <v>92</v>
      </c>
      <c r="C27" t="str">
        <f>VLOOKUP(B27,EnergyData_Processed!$B$2:$C$102,2,FALSE)</f>
        <v>Cu concentrate</v>
      </c>
      <c r="D27" t="s">
        <v>353</v>
      </c>
      <c r="E27" t="str">
        <f t="shared" si="0"/>
        <v>Jiama_Pb concentrate</v>
      </c>
      <c r="F27" t="s">
        <v>101</v>
      </c>
      <c r="G27">
        <v>9436.2698032407407</v>
      </c>
      <c r="H27" t="s">
        <v>59</v>
      </c>
      <c r="I27">
        <f t="shared" si="1"/>
        <v>9436.2698032407407</v>
      </c>
      <c r="J27" t="s">
        <v>17</v>
      </c>
      <c r="K27">
        <f>I27*Parameters!B18</f>
        <v>20901337.61417824</v>
      </c>
      <c r="L27" s="13">
        <f t="shared" si="2"/>
        <v>5.5082828669493197E-2</v>
      </c>
    </row>
    <row r="28" spans="1:12" x14ac:dyDescent="0.35">
      <c r="A28" t="s">
        <v>91</v>
      </c>
      <c r="B28" t="s">
        <v>92</v>
      </c>
      <c r="C28" t="str">
        <f>VLOOKUP(B28,EnergyData_Processed!$B$2:$C$102,2,FALSE)</f>
        <v>Cu concentrate</v>
      </c>
      <c r="D28" t="s">
        <v>341</v>
      </c>
      <c r="E28" t="str">
        <f t="shared" si="0"/>
        <v>Jiama_Ag concentrate</v>
      </c>
      <c r="F28" t="s">
        <v>102</v>
      </c>
      <c r="G28">
        <v>3169403</v>
      </c>
      <c r="H28" t="s">
        <v>20</v>
      </c>
      <c r="I28" s="6">
        <f>G28*Parameters!D3</f>
        <v>89.850990348500005</v>
      </c>
      <c r="J28" s="3" t="s">
        <v>17</v>
      </c>
      <c r="K28" s="5">
        <f>I28*Parameters!B14</f>
        <v>77146060.31322211</v>
      </c>
      <c r="L28" s="13">
        <f t="shared" si="2"/>
        <v>0.20330867340648298</v>
      </c>
    </row>
    <row r="29" spans="1:12" x14ac:dyDescent="0.35">
      <c r="A29" t="s">
        <v>104</v>
      </c>
      <c r="B29" t="s">
        <v>105</v>
      </c>
      <c r="C29" t="str">
        <f>VLOOKUP(B29,EnergyData_Processed!$B$2:$C$102,2,FALSE)</f>
        <v>Cu concentrate</v>
      </c>
      <c r="D29" t="s">
        <v>12</v>
      </c>
      <c r="E29" t="str">
        <f t="shared" si="0"/>
        <v>Caraíba_Cu concentrate</v>
      </c>
      <c r="F29" t="s">
        <v>113</v>
      </c>
      <c r="G29">
        <v>43857</v>
      </c>
      <c r="H29" t="s">
        <v>59</v>
      </c>
      <c r="I29">
        <f>G29</f>
        <v>43857</v>
      </c>
      <c r="J29" t="s">
        <v>17</v>
      </c>
      <c r="K29">
        <f>I29*Parameters!B10</f>
        <v>435047405.75999999</v>
      </c>
      <c r="L29" s="18">
        <f>K29/K29</f>
        <v>1</v>
      </c>
    </row>
    <row r="30" spans="1:12" x14ac:dyDescent="0.35">
      <c r="A30" t="s">
        <v>104</v>
      </c>
      <c r="B30" t="s">
        <v>115</v>
      </c>
      <c r="C30" t="str">
        <f>VLOOKUP(B30,EnergyData_Processed!$B$2:$C$102,2,FALSE)</f>
        <v>Cu concentrate</v>
      </c>
      <c r="D30" t="s">
        <v>12</v>
      </c>
      <c r="E30" t="str">
        <f t="shared" si="0"/>
        <v>Tucuma_Cu concentrate</v>
      </c>
      <c r="F30" t="s">
        <v>119</v>
      </c>
      <c r="G30">
        <v>5156</v>
      </c>
      <c r="H30" t="s">
        <v>59</v>
      </c>
      <c r="I30">
        <f>G30</f>
        <v>5156</v>
      </c>
      <c r="J30" t="s">
        <v>17</v>
      </c>
      <c r="K30">
        <f>I30*Parameters!B10</f>
        <v>51145870.079999998</v>
      </c>
      <c r="L30" s="18">
        <f>K30/K30</f>
        <v>1</v>
      </c>
    </row>
    <row r="31" spans="1:12" x14ac:dyDescent="0.35">
      <c r="A31" t="s">
        <v>120</v>
      </c>
      <c r="B31" t="s">
        <v>137</v>
      </c>
      <c r="C31" t="str">
        <f>VLOOKUP(B31,EnergyData_Processed!$B$2:$C$102,2,FALSE)</f>
        <v>Cu concentrate</v>
      </c>
      <c r="D31" t="s">
        <v>12</v>
      </c>
      <c r="E31" t="str">
        <f t="shared" si="0"/>
        <v>Grasberg_Cu concentrate</v>
      </c>
      <c r="F31" t="s">
        <v>133</v>
      </c>
      <c r="G31">
        <v>752963</v>
      </c>
      <c r="H31" t="s">
        <v>59</v>
      </c>
      <c r="I31">
        <f>G31</f>
        <v>752963</v>
      </c>
      <c r="J31" t="s">
        <v>17</v>
      </c>
      <c r="K31">
        <f>I31*Parameters!B10</f>
        <v>7469152011.8400002</v>
      </c>
      <c r="L31" s="14">
        <f>K31/SUM($K$31:$K$33)</f>
        <v>0.5436566723521693</v>
      </c>
    </row>
    <row r="32" spans="1:12" x14ac:dyDescent="0.35">
      <c r="A32" t="s">
        <v>120</v>
      </c>
      <c r="B32" t="s">
        <v>137</v>
      </c>
      <c r="C32" t="str">
        <f>VLOOKUP(B32,EnergyData_Processed!$B$2:$C$102,2,FALSE)</f>
        <v>Cu concentrate</v>
      </c>
      <c r="D32" t="s">
        <v>338</v>
      </c>
      <c r="E32" t="str">
        <f t="shared" si="0"/>
        <v>Grasberg_Au concentrate</v>
      </c>
      <c r="F32" t="s">
        <v>148</v>
      </c>
      <c r="G32">
        <v>1978000</v>
      </c>
      <c r="H32" t="s">
        <v>20</v>
      </c>
      <c r="I32" s="6">
        <f>G32*Parameters!D3</f>
        <v>56.075310999999999</v>
      </c>
      <c r="J32" s="3" t="s">
        <v>17</v>
      </c>
      <c r="K32" s="5">
        <f>I32*Parameters!B12</f>
        <v>6112294991.4249783</v>
      </c>
      <c r="L32" s="13">
        <f>K32/SUM($K$31:$K$33)</f>
        <v>0.44489521035391644</v>
      </c>
    </row>
    <row r="33" spans="1:12" x14ac:dyDescent="0.35">
      <c r="A33" t="s">
        <v>120</v>
      </c>
      <c r="B33" t="s">
        <v>137</v>
      </c>
      <c r="C33" t="str">
        <f>VLOOKUP(B33,EnergyData_Processed!$B$2:$C$102,2,FALSE)</f>
        <v>Cu concentrate</v>
      </c>
      <c r="D33" t="s">
        <v>341</v>
      </c>
      <c r="E33" t="str">
        <f t="shared" si="0"/>
        <v>Grasberg_Ag concentrate</v>
      </c>
      <c r="F33" t="s">
        <v>151</v>
      </c>
      <c r="G33">
        <v>6461663.806117164</v>
      </c>
      <c r="H33" t="s">
        <v>20</v>
      </c>
      <c r="I33" s="6">
        <f>G33*Parameters!D3</f>
        <v>183.18493807151853</v>
      </c>
      <c r="J33" s="3" t="s">
        <v>17</v>
      </c>
      <c r="K33" s="5">
        <f>I33*Parameters!B14</f>
        <v>157282587.82820582</v>
      </c>
      <c r="L33" s="13">
        <f>K33/SUM($K$31:$K$33)</f>
        <v>1.1448117293914286E-2</v>
      </c>
    </row>
    <row r="34" spans="1:12" s="8" customFormat="1" x14ac:dyDescent="0.35">
      <c r="A34" s="8" t="s">
        <v>210</v>
      </c>
      <c r="B34" s="8" t="s">
        <v>211</v>
      </c>
      <c r="C34" s="8" t="str">
        <f>VLOOKUP(B34,EnergyData_Processed!$B$2:$C$102,2,FALSE)</f>
        <v>Cu concentrate &amp; cathode</v>
      </c>
      <c r="D34" s="8" t="s">
        <v>369</v>
      </c>
      <c r="E34" s="8" t="str">
        <f t="shared" si="0"/>
        <v>Aktogay_NA</v>
      </c>
      <c r="F34" s="8" t="s">
        <v>215</v>
      </c>
      <c r="G34" s="12">
        <v>229</v>
      </c>
      <c r="H34" s="8" t="s">
        <v>216</v>
      </c>
      <c r="I34" s="10">
        <f>G34*1000</f>
        <v>229000</v>
      </c>
      <c r="J34" s="10" t="s">
        <v>17</v>
      </c>
      <c r="K34" s="8">
        <f>I34*Parameters!B10</f>
        <v>2271606720</v>
      </c>
      <c r="L34" s="18">
        <f>K34/SUM($K$34:$K$35)</f>
        <v>0.92897424812156448</v>
      </c>
    </row>
    <row r="35" spans="1:12" s="8" customFormat="1" x14ac:dyDescent="0.35">
      <c r="A35" s="8" t="s">
        <v>210</v>
      </c>
      <c r="B35" s="8" t="s">
        <v>211</v>
      </c>
      <c r="C35" s="8" t="str">
        <f>VLOOKUP(B35,EnergyData_Processed!$B$2:$C$102,2,FALSE)</f>
        <v>Cu concentrate &amp; cathode</v>
      </c>
      <c r="D35" s="8" t="s">
        <v>358</v>
      </c>
      <c r="E35" s="8" t="str">
        <f t="shared" si="0"/>
        <v>Aktogay_Mo concentrate</v>
      </c>
      <c r="F35" s="8" t="s">
        <v>173</v>
      </c>
      <c r="G35" s="12">
        <v>3727</v>
      </c>
      <c r="H35" s="8" t="s">
        <v>17</v>
      </c>
      <c r="I35" s="8">
        <f>G35</f>
        <v>3727</v>
      </c>
      <c r="J35" s="8" t="s">
        <v>17</v>
      </c>
      <c r="K35" s="8">
        <f>I35*Parameters!B20</f>
        <v>173678200</v>
      </c>
      <c r="L35" s="20">
        <f>K35/SUM($K$34:$K$35)</f>
        <v>7.1025751878435503E-2</v>
      </c>
    </row>
    <row r="36" spans="1:12" x14ac:dyDescent="0.35">
      <c r="A36" t="s">
        <v>210</v>
      </c>
      <c r="B36" t="s">
        <v>221</v>
      </c>
      <c r="C36" t="str">
        <f>VLOOKUP(B36,EnergyData_Processed!$B$2:$C$102,2,FALSE)</f>
        <v>Cu concentrate</v>
      </c>
      <c r="D36" t="s">
        <v>12</v>
      </c>
      <c r="E36" t="str">
        <f t="shared" si="0"/>
        <v>Bozshakol_Cu concentrate</v>
      </c>
      <c r="F36" t="s">
        <v>215</v>
      </c>
      <c r="G36" s="7">
        <v>105</v>
      </c>
      <c r="H36" t="s">
        <v>216</v>
      </c>
      <c r="I36" s="3">
        <f>G36*1000</f>
        <v>105000</v>
      </c>
      <c r="J36" s="3" t="s">
        <v>17</v>
      </c>
      <c r="K36">
        <f>I36*Parameters!B10</f>
        <v>1041566400</v>
      </c>
      <c r="L36" s="14">
        <f>K36/SUM($K$36:$K$39)</f>
        <v>0.75015588218995666</v>
      </c>
    </row>
    <row r="37" spans="1:12" x14ac:dyDescent="0.35">
      <c r="A37" t="s">
        <v>210</v>
      </c>
      <c r="B37" t="s">
        <v>221</v>
      </c>
      <c r="C37" t="str">
        <f>VLOOKUP(B37,EnergyData_Processed!$B$2:$C$102,2,FALSE)</f>
        <v>Cu concentrate</v>
      </c>
      <c r="D37" t="s">
        <v>338</v>
      </c>
      <c r="E37" t="str">
        <f t="shared" si="0"/>
        <v>Bozshakol_Au concentrate</v>
      </c>
      <c r="F37" t="s">
        <v>40</v>
      </c>
      <c r="G37">
        <v>104</v>
      </c>
      <c r="H37" t="s">
        <v>34</v>
      </c>
      <c r="I37" s="6">
        <f>G37*Parameters!D3*1000</f>
        <v>2.9483479999999997</v>
      </c>
      <c r="J37" s="3" t="s">
        <v>17</v>
      </c>
      <c r="K37" s="5">
        <f>I37*Parameters!B12</f>
        <v>321374458.59868437</v>
      </c>
      <c r="L37" s="13">
        <f>K37/SUM($K$36:$K$39)</f>
        <v>0.23145998229533499</v>
      </c>
    </row>
    <row r="38" spans="1:12" x14ac:dyDescent="0.35">
      <c r="A38" t="s">
        <v>210</v>
      </c>
      <c r="B38" t="s">
        <v>221</v>
      </c>
      <c r="C38" t="str">
        <f>VLOOKUP(B38,EnergyData_Processed!$B$2:$C$102,2,FALSE)</f>
        <v>Cu concentrate</v>
      </c>
      <c r="D38" t="s">
        <v>341</v>
      </c>
      <c r="E38" t="str">
        <f t="shared" si="0"/>
        <v>Bozshakol_Ag concentrate</v>
      </c>
      <c r="F38" t="s">
        <v>174</v>
      </c>
      <c r="G38" s="7">
        <v>818000</v>
      </c>
      <c r="H38" t="s">
        <v>20</v>
      </c>
      <c r="I38" s="6">
        <f>G38*Parameters!D3</f>
        <v>23.189890999999999</v>
      </c>
      <c r="J38" s="3" t="s">
        <v>17</v>
      </c>
      <c r="K38" s="5">
        <f>I38*Parameters!B14</f>
        <v>19910840.412599999</v>
      </c>
      <c r="L38" s="13">
        <f>K38/SUM($K$36:$K$39)</f>
        <v>1.4340165019587224E-2</v>
      </c>
    </row>
    <row r="39" spans="1:12" x14ac:dyDescent="0.35">
      <c r="A39" t="s">
        <v>210</v>
      </c>
      <c r="B39" t="s">
        <v>221</v>
      </c>
      <c r="C39" t="str">
        <f>VLOOKUP(B39,EnergyData_Processed!$B$2:$C$102,2,FALSE)</f>
        <v>Cu concentrate</v>
      </c>
      <c r="D39" t="s">
        <v>358</v>
      </c>
      <c r="E39" t="str">
        <f t="shared" si="0"/>
        <v>Bozshakol_Mo concentrate</v>
      </c>
      <c r="F39" t="s">
        <v>219</v>
      </c>
      <c r="G39" s="7">
        <v>120.49180327868852</v>
      </c>
      <c r="H39" t="s">
        <v>17</v>
      </c>
      <c r="I39">
        <f>G39</f>
        <v>120.49180327868852</v>
      </c>
      <c r="J39" t="s">
        <v>17</v>
      </c>
      <c r="K39">
        <f>I39*Parameters!B20</f>
        <v>5614918.0327868853</v>
      </c>
      <c r="L39" s="13">
        <f>K39/SUM($K$36:$K$39)</f>
        <v>4.0439704951211386E-3</v>
      </c>
    </row>
    <row r="40" spans="1:12" x14ac:dyDescent="0.35">
      <c r="A40" t="s">
        <v>210</v>
      </c>
      <c r="B40" t="s">
        <v>225</v>
      </c>
      <c r="C40" t="str">
        <f>VLOOKUP(B40,EnergyData_Processed!$B$2:$C$102,2,FALSE)</f>
        <v>Cu concentrate</v>
      </c>
      <c r="D40" t="s">
        <v>12</v>
      </c>
      <c r="E40" t="str">
        <f t="shared" si="0"/>
        <v>Bozymchak_Cu concentrate</v>
      </c>
      <c r="F40" t="s">
        <v>215</v>
      </c>
      <c r="G40">
        <v>5</v>
      </c>
      <c r="H40" t="s">
        <v>216</v>
      </c>
      <c r="I40" s="3">
        <f>G40*1000</f>
        <v>5000</v>
      </c>
      <c r="J40" s="3" t="s">
        <v>17</v>
      </c>
      <c r="K40">
        <f>I40*Parameters!B10</f>
        <v>49598400</v>
      </c>
      <c r="L40" s="14">
        <f>K40/SUM($K$40:$K$41)</f>
        <v>0.35627852617435268</v>
      </c>
    </row>
    <row r="41" spans="1:12" x14ac:dyDescent="0.35">
      <c r="A41" t="s">
        <v>210</v>
      </c>
      <c r="B41" t="s">
        <v>225</v>
      </c>
      <c r="C41" t="str">
        <f>VLOOKUP(B41,EnergyData_Processed!$B$2:$C$102,2,FALSE)</f>
        <v>Cu concentrate</v>
      </c>
      <c r="D41" t="s">
        <v>338</v>
      </c>
      <c r="E41" t="str">
        <f t="shared" si="0"/>
        <v>Bozymchak_Au concentrate</v>
      </c>
      <c r="F41" t="s">
        <v>224</v>
      </c>
      <c r="G41">
        <v>29</v>
      </c>
      <c r="H41" t="s">
        <v>34</v>
      </c>
      <c r="I41" s="6">
        <f>G41*1000*Parameters!D3</f>
        <v>0.82213550000000002</v>
      </c>
      <c r="J41" s="3" t="s">
        <v>17</v>
      </c>
      <c r="K41" s="5">
        <f>I41*Parameters!B12</f>
        <v>89614031.724633142</v>
      </c>
      <c r="L41" s="13">
        <f>K41/SUM($K$40:$K$41)</f>
        <v>0.64372147382564726</v>
      </c>
    </row>
    <row r="42" spans="1:12" x14ac:dyDescent="0.35">
      <c r="A42" t="s">
        <v>210</v>
      </c>
      <c r="B42" t="s">
        <v>226</v>
      </c>
      <c r="C42" t="str">
        <f>VLOOKUP(B42,EnergyData_Processed!$B$2:$C$102,2,FALSE)</f>
        <v>Cu concentrate</v>
      </c>
      <c r="D42" t="s">
        <v>12</v>
      </c>
      <c r="E42" t="str">
        <f t="shared" si="0"/>
        <v>East Region Operations_Cu concentrate</v>
      </c>
      <c r="F42" t="s">
        <v>215</v>
      </c>
      <c r="G42">
        <v>41</v>
      </c>
      <c r="H42" t="s">
        <v>216</v>
      </c>
      <c r="I42" s="3">
        <f>G42*1000</f>
        <v>41000</v>
      </c>
      <c r="J42" s="3" t="s">
        <v>17</v>
      </c>
      <c r="K42">
        <f>I42*Parameters!B10</f>
        <v>406706880</v>
      </c>
      <c r="L42" s="14">
        <f>K42/SUM($K$42:$K$45)</f>
        <v>0.5928256765345884</v>
      </c>
    </row>
    <row r="43" spans="1:12" x14ac:dyDescent="0.35">
      <c r="A43" t="s">
        <v>210</v>
      </c>
      <c r="B43" t="s">
        <v>226</v>
      </c>
      <c r="C43" t="str">
        <f>VLOOKUP(B43,EnergyData_Processed!$B$2:$C$102,2,FALSE)</f>
        <v>Cu concentrate</v>
      </c>
      <c r="D43" t="s">
        <v>348</v>
      </c>
      <c r="E43" t="str">
        <f t="shared" si="0"/>
        <v>East Region Operations_Zn concentrate</v>
      </c>
      <c r="F43" t="s">
        <v>229</v>
      </c>
      <c r="G43">
        <v>43</v>
      </c>
      <c r="H43" t="s">
        <v>216</v>
      </c>
      <c r="I43" s="3">
        <f>G43*1000</f>
        <v>43000</v>
      </c>
      <c r="J43" s="3" t="s">
        <v>17</v>
      </c>
      <c r="K43">
        <f>I43*Parameters!B16</f>
        <v>117476000</v>
      </c>
      <c r="L43" s="13">
        <f>K43/SUM($K$42:$K$45)</f>
        <v>0.17123582757335531</v>
      </c>
    </row>
    <row r="44" spans="1:12" x14ac:dyDescent="0.35">
      <c r="A44" t="s">
        <v>210</v>
      </c>
      <c r="B44" t="s">
        <v>226</v>
      </c>
      <c r="C44" t="str">
        <f>VLOOKUP(B44,EnergyData_Processed!$B$2:$C$102,2,FALSE)</f>
        <v>Cu concentrate</v>
      </c>
      <c r="D44" t="s">
        <v>341</v>
      </c>
      <c r="E44" t="str">
        <f t="shared" si="0"/>
        <v>East Region Operations_Ag concentrate</v>
      </c>
      <c r="F44" t="s">
        <v>174</v>
      </c>
      <c r="G44">
        <v>1.4</v>
      </c>
      <c r="H44" t="s">
        <v>231</v>
      </c>
      <c r="I44" s="6">
        <f>G44*1000000*Parameters!D3</f>
        <v>39.689300000000003</v>
      </c>
      <c r="J44" s="3" t="s">
        <v>17</v>
      </c>
      <c r="K44" s="5">
        <f>I44*Parameters!B14</f>
        <v>34077232.980000004</v>
      </c>
      <c r="L44" s="13">
        <f>K44/SUM($K$42:$K$45)</f>
        <v>4.9671789903813018E-2</v>
      </c>
    </row>
    <row r="45" spans="1:12" x14ac:dyDescent="0.35">
      <c r="A45" t="s">
        <v>210</v>
      </c>
      <c r="B45" t="s">
        <v>226</v>
      </c>
      <c r="C45" t="str">
        <f>VLOOKUP(B45,EnergyData_Processed!$B$2:$C$102,2,FALSE)</f>
        <v>Cu concentrate</v>
      </c>
      <c r="D45" t="s">
        <v>338</v>
      </c>
      <c r="E45" t="str">
        <f t="shared" si="0"/>
        <v>East Region Operations_Au concentrate</v>
      </c>
      <c r="F45" t="s">
        <v>40</v>
      </c>
      <c r="G45">
        <v>41353.448275862072</v>
      </c>
      <c r="H45" t="s">
        <v>20</v>
      </c>
      <c r="I45" s="6">
        <f>G45*Parameters!D3</f>
        <v>1.1723495818965519</v>
      </c>
      <c r="J45" s="3" t="s">
        <v>17</v>
      </c>
      <c r="K45" s="5">
        <f>I45*Parameters!B12</f>
        <v>127787904.33503725</v>
      </c>
      <c r="L45" s="13">
        <f>K45/SUM($K$42:$K$45)</f>
        <v>0.18626670598824324</v>
      </c>
    </row>
    <row r="46" spans="1:12" s="8" customFormat="1" x14ac:dyDescent="0.35">
      <c r="A46" s="8" t="s">
        <v>232</v>
      </c>
      <c r="B46" s="8" t="s">
        <v>242</v>
      </c>
      <c r="C46" s="8" t="str">
        <f>VLOOKUP(B46,EnergyData_Processed!$B$2:$C$102,2,FALSE)</f>
        <v>Cu concentrate</v>
      </c>
      <c r="D46" s="8" t="s">
        <v>369</v>
      </c>
      <c r="E46" s="8" t="str">
        <f t="shared" si="0"/>
        <v>Rosebery_NA</v>
      </c>
      <c r="F46" s="8" t="s">
        <v>245</v>
      </c>
      <c r="G46" s="8">
        <v>51626</v>
      </c>
      <c r="H46" s="8" t="s">
        <v>59</v>
      </c>
      <c r="I46" s="8">
        <f>G46</f>
        <v>51626</v>
      </c>
      <c r="J46" s="8" t="s">
        <v>17</v>
      </c>
      <c r="K46" s="8">
        <f>I46*Parameters!B16</f>
        <v>141042232</v>
      </c>
      <c r="L46" s="20">
        <f>K46/SUM($K$46:$K$50)</f>
        <v>0.40197525843405635</v>
      </c>
    </row>
    <row r="47" spans="1:12" s="8" customFormat="1" x14ac:dyDescent="0.35">
      <c r="A47" s="8" t="s">
        <v>232</v>
      </c>
      <c r="B47" s="8" t="s">
        <v>242</v>
      </c>
      <c r="C47" s="8" t="str">
        <f>VLOOKUP(B47,EnergyData_Processed!$B$2:$C$102,2,FALSE)</f>
        <v>Cu concentrate</v>
      </c>
      <c r="D47" s="8" t="s">
        <v>369</v>
      </c>
      <c r="E47" s="8" t="str">
        <f t="shared" si="0"/>
        <v>Rosebery_NA</v>
      </c>
      <c r="F47" s="8" t="s">
        <v>246</v>
      </c>
      <c r="G47" s="8">
        <v>19147</v>
      </c>
      <c r="H47" s="8" t="s">
        <v>59</v>
      </c>
      <c r="I47" s="8">
        <f>G47</f>
        <v>19147</v>
      </c>
      <c r="J47" s="8" t="s">
        <v>17</v>
      </c>
      <c r="K47" s="8">
        <f>I47*Parameters!B18</f>
        <v>42410605</v>
      </c>
      <c r="L47" s="20">
        <f>K47/SUM($K$46:$K$50)</f>
        <v>0.12087169682070603</v>
      </c>
    </row>
    <row r="48" spans="1:12" s="8" customFormat="1" x14ac:dyDescent="0.35">
      <c r="A48" s="8" t="s">
        <v>232</v>
      </c>
      <c r="B48" s="8" t="s">
        <v>242</v>
      </c>
      <c r="C48" s="8" t="str">
        <f>VLOOKUP(B48,EnergyData_Processed!$B$2:$C$102,2,FALSE)</f>
        <v>Cu concentrate</v>
      </c>
      <c r="D48" s="8" t="s">
        <v>369</v>
      </c>
      <c r="E48" s="8" t="str">
        <f t="shared" si="0"/>
        <v>Rosebery_NA</v>
      </c>
      <c r="F48" s="8" t="s">
        <v>247</v>
      </c>
      <c r="G48" s="8">
        <v>1163</v>
      </c>
      <c r="H48" s="8" t="s">
        <v>59</v>
      </c>
      <c r="I48" s="8">
        <f>G48</f>
        <v>1163</v>
      </c>
      <c r="J48" s="8" t="s">
        <v>17</v>
      </c>
      <c r="K48" s="8">
        <f>I48*Parameters!B10</f>
        <v>11536587.84</v>
      </c>
      <c r="L48" s="18">
        <f>K48/SUM($K$46:$K$50)</f>
        <v>3.2879675914595508E-2</v>
      </c>
    </row>
    <row r="49" spans="1:12" s="8" customFormat="1" x14ac:dyDescent="0.35">
      <c r="A49" s="8" t="s">
        <v>232</v>
      </c>
      <c r="B49" s="8" t="s">
        <v>242</v>
      </c>
      <c r="C49" s="8" t="str">
        <f>VLOOKUP(B49,EnergyData_Processed!$B$2:$C$102,2,FALSE)</f>
        <v>Cu concentrate</v>
      </c>
      <c r="D49" s="8" t="s">
        <v>369</v>
      </c>
      <c r="E49" s="8" t="str">
        <f t="shared" si="0"/>
        <v>Rosebery_NA</v>
      </c>
      <c r="F49" s="8" t="s">
        <v>40</v>
      </c>
      <c r="G49" s="8">
        <v>30096</v>
      </c>
      <c r="H49" s="8" t="s">
        <v>252</v>
      </c>
      <c r="I49" s="9">
        <f>G49*Parameters!D3</f>
        <v>0.85320655199999995</v>
      </c>
      <c r="J49" s="10" t="s">
        <v>17</v>
      </c>
      <c r="K49" s="11">
        <f>I49*Parameters!B12</f>
        <v>93000824.096019283</v>
      </c>
      <c r="L49" s="20">
        <f>K49/SUM($K$46:$K$50)</f>
        <v>0.26505557782563716</v>
      </c>
    </row>
    <row r="50" spans="1:12" s="8" customFormat="1" x14ac:dyDescent="0.35">
      <c r="A50" s="8" t="s">
        <v>232</v>
      </c>
      <c r="B50" s="8" t="s">
        <v>242</v>
      </c>
      <c r="C50" s="8" t="str">
        <f>VLOOKUP(B50,EnergyData_Processed!$B$2:$C$102,2,FALSE)</f>
        <v>Cu concentrate</v>
      </c>
      <c r="D50" s="8" t="s">
        <v>369</v>
      </c>
      <c r="E50" s="8" t="str">
        <f t="shared" si="0"/>
        <v>Rosebery_NA</v>
      </c>
      <c r="F50" s="8" t="s">
        <v>174</v>
      </c>
      <c r="G50" s="8">
        <v>2583418</v>
      </c>
      <c r="H50" s="8" t="s">
        <v>252</v>
      </c>
      <c r="I50" s="9">
        <f>G50*Parameters!D3</f>
        <v>73.238608591000002</v>
      </c>
      <c r="J50" s="10" t="s">
        <v>17</v>
      </c>
      <c r="K50" s="11">
        <f>I50*Parameters!B14</f>
        <v>62882669.336232603</v>
      </c>
      <c r="L50" s="20">
        <f>K50/SUM($K$46:$K$50)</f>
        <v>0.1792177910050049</v>
      </c>
    </row>
    <row r="51" spans="1:12" x14ac:dyDescent="0.35">
      <c r="A51" t="s">
        <v>232</v>
      </c>
      <c r="B51" t="s">
        <v>254</v>
      </c>
      <c r="C51" t="str">
        <f>VLOOKUP(B51,EnergyData_Processed!$B$2:$C$102,2,FALSE)</f>
        <v>Cu concentrate</v>
      </c>
      <c r="D51" t="s">
        <v>12</v>
      </c>
      <c r="E51" t="str">
        <f t="shared" si="0"/>
        <v>Las Bambas_Cu concentrate</v>
      </c>
      <c r="F51" t="s">
        <v>379</v>
      </c>
      <c r="G51">
        <v>302033</v>
      </c>
      <c r="H51" t="s">
        <v>59</v>
      </c>
      <c r="I51">
        <f>G51</f>
        <v>302033</v>
      </c>
      <c r="J51" t="s">
        <v>17</v>
      </c>
      <c r="K51">
        <f>I51*Parameters!B10</f>
        <v>2996070709.4400001</v>
      </c>
      <c r="L51" s="14">
        <f>K51/SUM($K$51:$K$54)</f>
        <v>0.83039061098526279</v>
      </c>
    </row>
    <row r="52" spans="1:12" x14ac:dyDescent="0.35">
      <c r="A52" t="s">
        <v>232</v>
      </c>
      <c r="B52" t="s">
        <v>254</v>
      </c>
      <c r="C52" t="str">
        <f>VLOOKUP(B52,EnergyData_Processed!$B$2:$C$102,2,FALSE)</f>
        <v>Cu concentrate</v>
      </c>
      <c r="D52" t="s">
        <v>338</v>
      </c>
      <c r="E52" t="str">
        <f t="shared" si="0"/>
        <v>Las Bambas_Au concentrate</v>
      </c>
      <c r="F52" t="s">
        <v>256</v>
      </c>
      <c r="G52">
        <v>94925</v>
      </c>
      <c r="H52" t="s">
        <v>252</v>
      </c>
      <c r="I52" s="6">
        <f>G52*Parameters!D3</f>
        <v>2.6910762875000001</v>
      </c>
      <c r="J52" s="3" t="s">
        <v>17</v>
      </c>
      <c r="K52" s="5">
        <f>I52*Parameters!B12</f>
        <v>293331446.94692421</v>
      </c>
      <c r="L52" s="13">
        <f>K52/SUM($K$51:$K$54)</f>
        <v>8.1299709878000656E-2</v>
      </c>
    </row>
    <row r="53" spans="1:12" x14ac:dyDescent="0.35">
      <c r="A53" t="s">
        <v>232</v>
      </c>
      <c r="B53" t="s">
        <v>254</v>
      </c>
      <c r="C53" t="str">
        <f>VLOOKUP(B53,EnergyData_Processed!$B$2:$C$102,2,FALSE)</f>
        <v>Cu concentrate</v>
      </c>
      <c r="D53" t="s">
        <v>341</v>
      </c>
      <c r="E53" t="str">
        <f t="shared" si="0"/>
        <v>Las Bambas_Ag concentrate</v>
      </c>
      <c r="F53" t="s">
        <v>257</v>
      </c>
      <c r="G53">
        <v>5361326</v>
      </c>
      <c r="H53" t="s">
        <v>252</v>
      </c>
      <c r="I53" s="6">
        <f>G53*Parameters!D3</f>
        <v>151.99091143699999</v>
      </c>
      <c r="J53" s="3" t="s">
        <v>17</v>
      </c>
      <c r="K53" s="5">
        <f>I53*Parameters!B14</f>
        <v>130499396.55980819</v>
      </c>
      <c r="L53" s="13">
        <f>K53/SUM($K$51:$K$54)</f>
        <v>3.6169197643123041E-2</v>
      </c>
    </row>
    <row r="54" spans="1:12" x14ac:dyDescent="0.35">
      <c r="A54" t="s">
        <v>232</v>
      </c>
      <c r="B54" t="s">
        <v>254</v>
      </c>
      <c r="C54" t="str">
        <f>VLOOKUP(B54,EnergyData_Processed!$B$2:$C$102,2,FALSE)</f>
        <v>Cu concentrate</v>
      </c>
      <c r="D54" t="s">
        <v>358</v>
      </c>
      <c r="E54" t="str">
        <f t="shared" si="0"/>
        <v>Las Bambas_Mo concentrate</v>
      </c>
      <c r="F54" t="s">
        <v>258</v>
      </c>
      <c r="G54">
        <v>4037</v>
      </c>
      <c r="H54" t="s">
        <v>59</v>
      </c>
      <c r="I54">
        <f>G54</f>
        <v>4037</v>
      </c>
      <c r="J54" t="s">
        <v>17</v>
      </c>
      <c r="K54">
        <f>I54*Parameters!B20</f>
        <v>188124200</v>
      </c>
      <c r="L54" s="13">
        <f>K54/SUM($K$51:$K$54)</f>
        <v>5.2140481493613493E-2</v>
      </c>
    </row>
    <row r="55" spans="1:12" x14ac:dyDescent="0.35">
      <c r="A55" t="s">
        <v>264</v>
      </c>
      <c r="B55" t="s">
        <v>265</v>
      </c>
      <c r="C55" t="str">
        <f>VLOOKUP(B55,EnergyData_Processed!$B$2:$C$102,2,FALSE)</f>
        <v>Cu concentrate</v>
      </c>
      <c r="D55" t="s">
        <v>12</v>
      </c>
      <c r="E55" t="str">
        <f t="shared" si="0"/>
        <v>Golden Grove_Cu concentrate</v>
      </c>
      <c r="F55" t="s">
        <v>271</v>
      </c>
      <c r="G55">
        <v>18096</v>
      </c>
      <c r="H55" t="s">
        <v>59</v>
      </c>
      <c r="I55">
        <f>G55</f>
        <v>18096</v>
      </c>
      <c r="J55" t="s">
        <v>17</v>
      </c>
      <c r="K55">
        <f>I55*Parameters!B10</f>
        <v>179506529.28</v>
      </c>
      <c r="L55" s="14">
        <f>K55/SUM($K$55:$K$59)</f>
        <v>0.4663598153437043</v>
      </c>
    </row>
    <row r="56" spans="1:12" x14ac:dyDescent="0.35">
      <c r="A56" t="s">
        <v>264</v>
      </c>
      <c r="B56" t="s">
        <v>265</v>
      </c>
      <c r="C56" t="str">
        <f>VLOOKUP(B56,EnergyData_Processed!$B$2:$C$102,2,FALSE)</f>
        <v>Cu concentrate</v>
      </c>
      <c r="D56" t="s">
        <v>348</v>
      </c>
      <c r="E56" t="str">
        <f t="shared" si="0"/>
        <v>Golden Grove_Zn concentrate</v>
      </c>
      <c r="F56" t="s">
        <v>272</v>
      </c>
      <c r="G56">
        <v>51500</v>
      </c>
      <c r="H56" t="s">
        <v>59</v>
      </c>
      <c r="I56">
        <f>G56</f>
        <v>51500</v>
      </c>
      <c r="J56" t="s">
        <v>17</v>
      </c>
      <c r="K56">
        <f>I56*Parameters!B16</f>
        <v>140698000</v>
      </c>
      <c r="L56" s="13">
        <f>K56/SUM($K$55:$K$59)</f>
        <v>0.36553485582064121</v>
      </c>
    </row>
    <row r="57" spans="1:12" x14ac:dyDescent="0.35">
      <c r="A57" t="s">
        <v>264</v>
      </c>
      <c r="B57" t="s">
        <v>265</v>
      </c>
      <c r="C57" t="str">
        <f>VLOOKUP(B57,EnergyData_Processed!$B$2:$C$102,2,FALSE)</f>
        <v>Cu concentrate</v>
      </c>
      <c r="D57" t="s">
        <v>338</v>
      </c>
      <c r="E57" t="str">
        <f t="shared" si="0"/>
        <v>Golden Grove_Au concentrate</v>
      </c>
      <c r="F57" t="s">
        <v>40</v>
      </c>
      <c r="G57">
        <v>13999</v>
      </c>
      <c r="H57" t="s">
        <v>20</v>
      </c>
      <c r="I57" s="6">
        <f>G57*Parameters!D3</f>
        <v>0.39686465050000003</v>
      </c>
      <c r="J57" s="3" t="s">
        <v>17</v>
      </c>
      <c r="K57" s="5">
        <f>I57*Parameters!B12</f>
        <v>43258856.210797913</v>
      </c>
      <c r="L57" s="13">
        <f>K57/SUM($K$55:$K$59)</f>
        <v>0.11238695481087055</v>
      </c>
    </row>
    <row r="58" spans="1:12" x14ac:dyDescent="0.35">
      <c r="A58" t="s">
        <v>264</v>
      </c>
      <c r="B58" t="s">
        <v>265</v>
      </c>
      <c r="C58" t="str">
        <f>VLOOKUP(B58,EnergyData_Processed!$B$2:$C$102,2,FALSE)</f>
        <v>Cu concentrate</v>
      </c>
      <c r="D58" t="s">
        <v>341</v>
      </c>
      <c r="E58" t="str">
        <f t="shared" si="0"/>
        <v>Golden Grove_Ag concentrate</v>
      </c>
      <c r="F58" t="s">
        <v>174</v>
      </c>
      <c r="G58">
        <v>774896</v>
      </c>
      <c r="H58" t="s">
        <v>20</v>
      </c>
      <c r="I58" s="6">
        <f>G58*Parameters!D3</f>
        <v>21.967914151999999</v>
      </c>
      <c r="J58" s="3" t="s">
        <v>17</v>
      </c>
      <c r="K58" s="5">
        <f>I58*Parameters!B14</f>
        <v>18861651.090907197</v>
      </c>
      <c r="L58" s="13">
        <f>K58/SUM($K$55:$K$59)</f>
        <v>4.9002764161921293E-2</v>
      </c>
    </row>
    <row r="59" spans="1:12" x14ac:dyDescent="0.35">
      <c r="A59" t="s">
        <v>264</v>
      </c>
      <c r="B59" t="s">
        <v>265</v>
      </c>
      <c r="C59" t="str">
        <f>VLOOKUP(B59,EnergyData_Processed!$B$2:$C$102,2,FALSE)</f>
        <v>Cu concentrate</v>
      </c>
      <c r="D59" t="s">
        <v>353</v>
      </c>
      <c r="E59" t="str">
        <f t="shared" si="0"/>
        <v>Golden Grove_Pb concentrate</v>
      </c>
      <c r="F59" t="s">
        <v>273</v>
      </c>
      <c r="G59">
        <v>1167</v>
      </c>
      <c r="H59" t="s">
        <v>59</v>
      </c>
      <c r="I59">
        <f>G59</f>
        <v>1167</v>
      </c>
      <c r="J59" t="s">
        <v>17</v>
      </c>
      <c r="K59">
        <f>I59*Parameters!B18</f>
        <v>2584905</v>
      </c>
      <c r="L59" s="13">
        <f>K59/SUM($K$55:$K$59)</f>
        <v>6.7156098628626884E-3</v>
      </c>
    </row>
    <row r="60" spans="1:12" x14ac:dyDescent="0.35">
      <c r="A60" t="s">
        <v>286</v>
      </c>
      <c r="B60" t="s">
        <v>287</v>
      </c>
      <c r="C60" t="str">
        <f>VLOOKUP(B60,EnergyData_Processed!$B$2:$C$102,2,FALSE)</f>
        <v>Cu concentrate</v>
      </c>
      <c r="D60" t="s">
        <v>12</v>
      </c>
      <c r="E60" t="str">
        <f t="shared" si="0"/>
        <v>Batu Hijau_Cu concentrate</v>
      </c>
      <c r="F60" t="s">
        <v>292</v>
      </c>
      <c r="G60">
        <v>312000000</v>
      </c>
      <c r="H60" t="s">
        <v>387</v>
      </c>
      <c r="I60" s="7">
        <f>G60*Parameters!D4/1000</f>
        <v>141520.81943999999</v>
      </c>
      <c r="J60" t="s">
        <v>17</v>
      </c>
      <c r="K60">
        <f>I60*Parameters!B10</f>
        <v>1403841242.1825793</v>
      </c>
      <c r="L60" s="14">
        <f>K60/SUM($K$60:$K$62)</f>
        <v>0.48923444563214402</v>
      </c>
    </row>
    <row r="61" spans="1:12" x14ac:dyDescent="0.35">
      <c r="A61" t="s">
        <v>286</v>
      </c>
      <c r="B61" t="s">
        <v>287</v>
      </c>
      <c r="C61" t="str">
        <f>VLOOKUP(B61,EnergyData_Processed!$B$2:$C$102,2,FALSE)</f>
        <v>Cu concentrate</v>
      </c>
      <c r="D61" t="s">
        <v>338</v>
      </c>
      <c r="E61" t="str">
        <f t="shared" si="0"/>
        <v>Batu Hijau_Au concentrate</v>
      </c>
      <c r="F61" t="s">
        <v>40</v>
      </c>
      <c r="G61">
        <v>463500</v>
      </c>
      <c r="H61" t="s">
        <v>20</v>
      </c>
      <c r="I61" s="6">
        <f>G61*Parameters!D3</f>
        <v>13.13999325</v>
      </c>
      <c r="J61" s="3" t="s">
        <v>17</v>
      </c>
      <c r="K61" s="5">
        <f>I61*Parameters!B12</f>
        <v>1432279438.0816367</v>
      </c>
      <c r="L61" s="13">
        <f>K61/SUM($K$60:$K$62)</f>
        <v>0.49914507126942975</v>
      </c>
    </row>
    <row r="62" spans="1:12" x14ac:dyDescent="0.35">
      <c r="A62" t="s">
        <v>286</v>
      </c>
      <c r="B62" t="s">
        <v>287</v>
      </c>
      <c r="C62" t="str">
        <f>VLOOKUP(B62,EnergyData_Processed!$B$2:$C$102,2,FALSE)</f>
        <v>Cu concentrate</v>
      </c>
      <c r="D62" t="s">
        <v>341</v>
      </c>
      <c r="E62" t="str">
        <f t="shared" si="0"/>
        <v>Batu Hijau_Ag concentrate</v>
      </c>
      <c r="F62" t="s">
        <v>174</v>
      </c>
      <c r="G62">
        <v>1369900</v>
      </c>
      <c r="H62" t="s">
        <v>20</v>
      </c>
      <c r="I62" s="6">
        <f>G62*Parameters!D3</f>
        <v>38.835980050000003</v>
      </c>
      <c r="J62" s="3" t="s">
        <v>17</v>
      </c>
      <c r="K62" s="5">
        <f>I62*Parameters!B14</f>
        <v>33344572.470930003</v>
      </c>
      <c r="L62" s="13">
        <f>K62/SUM($K$60:$K$62)</f>
        <v>1.162048309842619E-2</v>
      </c>
    </row>
    <row r="63" spans="1:12" x14ac:dyDescent="0.35">
      <c r="A63" t="s">
        <v>294</v>
      </c>
      <c r="B63" t="s">
        <v>294</v>
      </c>
      <c r="C63" t="str">
        <f>VLOOKUP(B63,EnergyData_Processed!$B$2:$C$102,2,FALSE)</f>
        <v>Cu concentrate</v>
      </c>
      <c r="D63" t="s">
        <v>12</v>
      </c>
      <c r="E63" t="str">
        <f t="shared" si="0"/>
        <v>Sierra Gorda_Cu concentrate</v>
      </c>
      <c r="F63" t="s">
        <v>388</v>
      </c>
      <c r="G63">
        <v>101959</v>
      </c>
      <c r="H63" t="s">
        <v>59</v>
      </c>
      <c r="I63">
        <f t="shared" ref="I63:I72" si="3">G63</f>
        <v>101959</v>
      </c>
      <c r="J63" t="s">
        <v>17</v>
      </c>
      <c r="K63">
        <f>I63*Parameters!B10</f>
        <v>1011400653.12</v>
      </c>
      <c r="L63" s="15">
        <f>K63/SUM($K$63:$K$65)</f>
        <v>0.58804370215972945</v>
      </c>
    </row>
    <row r="64" spans="1:12" x14ac:dyDescent="0.35">
      <c r="A64" t="s">
        <v>294</v>
      </c>
      <c r="B64" t="s">
        <v>294</v>
      </c>
      <c r="C64" t="str">
        <f>VLOOKUP(B64,EnergyData_Processed!$B$2:$C$102,2,FALSE)</f>
        <v>Cu concentrate</v>
      </c>
      <c r="D64" t="s">
        <v>358</v>
      </c>
      <c r="E64" t="str">
        <f t="shared" si="0"/>
        <v>Sierra Gorda_Mo concentrate</v>
      </c>
      <c r="F64" t="s">
        <v>173</v>
      </c>
      <c r="G64">
        <v>12413</v>
      </c>
      <c r="H64" t="s">
        <v>59</v>
      </c>
      <c r="I64">
        <f t="shared" si="3"/>
        <v>12413</v>
      </c>
      <c r="J64" t="s">
        <v>17</v>
      </c>
      <c r="K64">
        <f>I64*Parameters!B20</f>
        <v>578445800</v>
      </c>
      <c r="L64" s="13">
        <f>K64/SUM($K$63:$K$65)</f>
        <v>0.33631717428838592</v>
      </c>
    </row>
    <row r="65" spans="1:12" x14ac:dyDescent="0.35">
      <c r="A65" t="s">
        <v>294</v>
      </c>
      <c r="B65" t="s">
        <v>294</v>
      </c>
      <c r="C65" t="str">
        <f>VLOOKUP(B65,EnergyData_Processed!$B$2:$C$102,2,FALSE)</f>
        <v>Cu concentrate</v>
      </c>
      <c r="D65" t="s">
        <v>338</v>
      </c>
      <c r="E65" t="str">
        <f t="shared" si="0"/>
        <v>Sierra Gorda_Au concentrate</v>
      </c>
      <c r="F65" t="s">
        <v>301</v>
      </c>
      <c r="G65">
        <v>42100</v>
      </c>
      <c r="H65" t="s">
        <v>20</v>
      </c>
      <c r="I65" s="6">
        <f>G65*Parameters!D3</f>
        <v>1.19351395</v>
      </c>
      <c r="J65" s="3" t="s">
        <v>17</v>
      </c>
      <c r="K65">
        <f>I65*Parameters!B12</f>
        <v>130094852.95196743</v>
      </c>
      <c r="L65" s="13">
        <f>K65/SUM($K$63:$K$65)</f>
        <v>7.5639123551884679E-2</v>
      </c>
    </row>
    <row r="66" spans="1:12" x14ac:dyDescent="0.35">
      <c r="A66" t="s">
        <v>303</v>
      </c>
      <c r="B66" t="s">
        <v>304</v>
      </c>
      <c r="C66" t="str">
        <f>VLOOKUP(B66,EnergyData_Processed!$B$2:$C$102,2,FALSE)</f>
        <v>Cu concentrate</v>
      </c>
      <c r="D66" t="s">
        <v>12</v>
      </c>
      <c r="E66" t="str">
        <f t="shared" si="0"/>
        <v>Gibraltar_Cu concentrate</v>
      </c>
      <c r="F66" t="s">
        <v>315</v>
      </c>
      <c r="G66">
        <v>123</v>
      </c>
      <c r="H66" t="s">
        <v>389</v>
      </c>
      <c r="I66" s="5">
        <f>G66*10^6*Parameters!D4/1000</f>
        <v>55791.861510000002</v>
      </c>
      <c r="J66" t="s">
        <v>17</v>
      </c>
      <c r="K66">
        <f>I66*Parameters!B10</f>
        <v>553437412.78351688</v>
      </c>
      <c r="L66" s="14">
        <f>K66/SUM($K$66:$K$67)</f>
        <v>0.95617694433305822</v>
      </c>
    </row>
    <row r="67" spans="1:12" x14ac:dyDescent="0.35">
      <c r="A67" t="s">
        <v>303</v>
      </c>
      <c r="B67" t="s">
        <v>304</v>
      </c>
      <c r="C67" t="str">
        <f>VLOOKUP(B67,EnergyData_Processed!$B$2:$C$102,2,FALSE)</f>
        <v>Cu concentrate</v>
      </c>
      <c r="D67" t="s">
        <v>358</v>
      </c>
      <c r="E67" t="str">
        <f t="shared" ref="E67:E91" si="4">CONCATENATE(B67,"_",D67)</f>
        <v>Gibraltar_Mo concentrate</v>
      </c>
      <c r="F67" t="s">
        <v>316</v>
      </c>
      <c r="G67">
        <v>1.2</v>
      </c>
      <c r="H67" t="s">
        <v>389</v>
      </c>
      <c r="I67" s="5">
        <f>G67*10^6*Parameters!D4/1000</f>
        <v>544.31084400000009</v>
      </c>
      <c r="J67" t="s">
        <v>17</v>
      </c>
      <c r="K67">
        <f>I67*Parameters!B20</f>
        <v>25364885.330400005</v>
      </c>
      <c r="L67" s="13">
        <f>K67/SUM($K$66:$K$67)</f>
        <v>4.3823055666941772E-2</v>
      </c>
    </row>
    <row r="68" spans="1:12" x14ac:dyDescent="0.35">
      <c r="A68" t="s">
        <v>50</v>
      </c>
      <c r="B68" t="s">
        <v>51</v>
      </c>
      <c r="C68" t="str">
        <f>VLOOKUP(B68,EnergyData_Processed!$B$2:$C$102,2,FALSE)</f>
        <v>Cu concentrate &amp; cathode</v>
      </c>
      <c r="D68" t="s">
        <v>12</v>
      </c>
      <c r="E68" t="str">
        <f t="shared" si="4"/>
        <v>Pinto Valley_Cu concentrate</v>
      </c>
      <c r="F68" t="s">
        <v>56</v>
      </c>
      <c r="G68">
        <v>54222</v>
      </c>
      <c r="H68" t="s">
        <v>59</v>
      </c>
      <c r="I68">
        <f t="shared" si="3"/>
        <v>54222</v>
      </c>
      <c r="J68" t="s">
        <v>17</v>
      </c>
      <c r="K68">
        <f>I68*Parameters!B10</f>
        <v>537864888.96000004</v>
      </c>
      <c r="L68" s="14">
        <f>K68/SUM($K$68:$K$70)</f>
        <v>0.94323984835067864</v>
      </c>
    </row>
    <row r="69" spans="1:12" x14ac:dyDescent="0.35">
      <c r="A69" t="s">
        <v>50</v>
      </c>
      <c r="B69" t="s">
        <v>51</v>
      </c>
      <c r="C69" t="str">
        <f>VLOOKUP(B69,EnergyData_Processed!$B$2:$C$102,2,FALSE)</f>
        <v>Cu concentrate &amp; cathode</v>
      </c>
      <c r="D69" t="s">
        <v>319</v>
      </c>
      <c r="E69" t="str">
        <f t="shared" si="4"/>
        <v>Pinto Valley_Cu cathode</v>
      </c>
      <c r="F69" t="s">
        <v>57</v>
      </c>
      <c r="G69">
        <v>2622</v>
      </c>
      <c r="H69" t="s">
        <v>59</v>
      </c>
      <c r="I69">
        <f t="shared" si="3"/>
        <v>2622</v>
      </c>
      <c r="J69" t="s">
        <v>17</v>
      </c>
      <c r="K69">
        <f>I69*Parameters!B11</f>
        <v>27093126</v>
      </c>
      <c r="L69" s="14">
        <f>K69/SUM($K$68:$K$70)</f>
        <v>4.7512519564158293E-2</v>
      </c>
    </row>
    <row r="70" spans="1:12" x14ac:dyDescent="0.35">
      <c r="A70" t="s">
        <v>50</v>
      </c>
      <c r="B70" t="s">
        <v>51</v>
      </c>
      <c r="C70" t="str">
        <f>VLOOKUP(B70,EnergyData_Processed!$B$2:$C$102,2,FALSE)</f>
        <v>Cu concentrate &amp; cathode</v>
      </c>
      <c r="D70" t="s">
        <v>359</v>
      </c>
      <c r="E70" t="str">
        <f t="shared" si="4"/>
        <v>Pinto Valley_Mo metal</v>
      </c>
      <c r="F70" t="s">
        <v>58</v>
      </c>
      <c r="G70">
        <v>86.305880610279956</v>
      </c>
      <c r="H70" t="s">
        <v>59</v>
      </c>
      <c r="I70">
        <f t="shared" si="3"/>
        <v>86.305880610279956</v>
      </c>
      <c r="J70" t="s">
        <v>17</v>
      </c>
      <c r="K70">
        <f>I70*Parameters!B21</f>
        <v>5273289.3052881053</v>
      </c>
      <c r="L70" s="13">
        <f>K70/SUM($K$68:$K$70)</f>
        <v>9.2476320851631443E-3</v>
      </c>
    </row>
    <row r="71" spans="1:12" x14ac:dyDescent="0.35">
      <c r="A71" t="s">
        <v>50</v>
      </c>
      <c r="B71" t="s">
        <v>62</v>
      </c>
      <c r="C71" t="str">
        <f>VLOOKUP(B71,EnergyData_Processed!$B$2:$C$102,2,FALSE)</f>
        <v>Cu concentrate &amp; cathode</v>
      </c>
      <c r="D71" t="s">
        <v>12</v>
      </c>
      <c r="E71" t="str">
        <f t="shared" si="4"/>
        <v>Mantos Blancos_Cu concentrate</v>
      </c>
      <c r="F71" t="s">
        <v>56</v>
      </c>
      <c r="G71">
        <v>34961</v>
      </c>
      <c r="H71" t="s">
        <v>59</v>
      </c>
      <c r="I71">
        <f t="shared" si="3"/>
        <v>34961</v>
      </c>
      <c r="J71" t="s">
        <v>17</v>
      </c>
      <c r="K71">
        <f>I71*Parameters!B10</f>
        <v>346801932.48000002</v>
      </c>
      <c r="L71" s="14">
        <f>K71/SUM($K$71:$K$73)</f>
        <v>0.64761836548475604</v>
      </c>
    </row>
    <row r="72" spans="1:12" x14ac:dyDescent="0.35">
      <c r="A72" t="s">
        <v>50</v>
      </c>
      <c r="B72" t="s">
        <v>62</v>
      </c>
      <c r="C72" t="str">
        <f>VLOOKUP(B72,EnergyData_Processed!$B$2:$C$102,2,FALSE)</f>
        <v>Cu concentrate &amp; cathode</v>
      </c>
      <c r="D72" t="s">
        <v>319</v>
      </c>
      <c r="E72" t="str">
        <f t="shared" si="4"/>
        <v>Mantos Blancos_Cu cathode</v>
      </c>
      <c r="F72" t="s">
        <v>57</v>
      </c>
      <c r="G72">
        <v>15697</v>
      </c>
      <c r="H72" t="s">
        <v>59</v>
      </c>
      <c r="I72">
        <f t="shared" si="3"/>
        <v>15697</v>
      </c>
      <c r="J72" t="s">
        <v>17</v>
      </c>
      <c r="K72">
        <f>I72*Parameters!B11</f>
        <v>162197101</v>
      </c>
      <c r="L72" s="14">
        <f>K72/SUM($K$71:$K$73)</f>
        <v>0.30288707068275528</v>
      </c>
    </row>
    <row r="73" spans="1:12" x14ac:dyDescent="0.35">
      <c r="A73" t="s">
        <v>50</v>
      </c>
      <c r="B73" t="s">
        <v>62</v>
      </c>
      <c r="C73" t="str">
        <f>VLOOKUP(B73,EnergyData_Processed!$B$2:$C$102,2,FALSE)</f>
        <v>Cu concentrate &amp; cathode</v>
      </c>
      <c r="D73" t="s">
        <v>346</v>
      </c>
      <c r="E73" t="str">
        <f t="shared" si="4"/>
        <v>Mantos Blancos_Ag metal</v>
      </c>
      <c r="F73" t="s">
        <v>67</v>
      </c>
      <c r="G73">
        <v>980000</v>
      </c>
      <c r="H73" t="s">
        <v>20</v>
      </c>
      <c r="I73" s="6">
        <f>G73*Parameters!D3</f>
        <v>27.782509999999998</v>
      </c>
      <c r="J73" s="3" t="s">
        <v>17</v>
      </c>
      <c r="K73" s="5">
        <f>I73*Parameters!B15</f>
        <v>26504514.539999999</v>
      </c>
      <c r="L73" s="13">
        <f>K73/SUM($K$71:$K$73)</f>
        <v>4.9494563832488569E-2</v>
      </c>
    </row>
    <row r="74" spans="1:12" x14ac:dyDescent="0.35">
      <c r="A74" t="s">
        <v>50</v>
      </c>
      <c r="B74" t="s">
        <v>70</v>
      </c>
      <c r="C74" t="str">
        <f>VLOOKUP(B74,EnergyData_Processed!$B$2:$C$102,2,FALSE)</f>
        <v>Cu cathode</v>
      </c>
      <c r="D74" t="s">
        <v>319</v>
      </c>
      <c r="E74" t="str">
        <f t="shared" si="4"/>
        <v>Mantoverde_Cu cathode</v>
      </c>
      <c r="F74" t="s">
        <v>57</v>
      </c>
      <c r="G74">
        <v>47364</v>
      </c>
      <c r="H74" t="s">
        <v>59</v>
      </c>
      <c r="I74">
        <f>G74</f>
        <v>47364</v>
      </c>
      <c r="J74" t="s">
        <v>17</v>
      </c>
      <c r="K74">
        <f>I74*Parameters!B11</f>
        <v>489412212</v>
      </c>
      <c r="L74" s="14">
        <f>K74/SUM($K$74:$K$75)</f>
        <v>0.96083219019896149</v>
      </c>
    </row>
    <row r="75" spans="1:12" x14ac:dyDescent="0.35">
      <c r="A75" t="s">
        <v>50</v>
      </c>
      <c r="B75" t="s">
        <v>70</v>
      </c>
      <c r="C75" t="str">
        <f>VLOOKUP(B75,EnergyData_Processed!$B$2:$C$102,2,FALSE)</f>
        <v>Cu cathode</v>
      </c>
      <c r="D75" t="s">
        <v>344</v>
      </c>
      <c r="E75" t="str">
        <f t="shared" si="4"/>
        <v>Mantoverde_Au metal</v>
      </c>
      <c r="F75" t="s">
        <v>71</v>
      </c>
      <c r="G75">
        <v>5810.6007416777857</v>
      </c>
      <c r="H75" t="s">
        <v>20</v>
      </c>
      <c r="I75" s="6">
        <f>G75*Parameters!D3</f>
        <v>0.1647276257261944</v>
      </c>
      <c r="J75" s="3" t="s">
        <v>17</v>
      </c>
      <c r="K75" s="5">
        <f>I75*Parameters!B13</f>
        <v>19950626.789421074</v>
      </c>
      <c r="L75" s="13">
        <f>K75/SUM($K$74:$K$75)</f>
        <v>3.916780980103849E-2</v>
      </c>
    </row>
    <row r="76" spans="1:12" x14ac:dyDescent="0.35">
      <c r="A76" t="s">
        <v>50</v>
      </c>
      <c r="B76" t="s">
        <v>72</v>
      </c>
      <c r="C76" t="str">
        <f>VLOOKUP(B76,EnergyData_Processed!$B$2:$C$102,2,FALSE)</f>
        <v>Cu cathode</v>
      </c>
      <c r="D76" t="s">
        <v>319</v>
      </c>
      <c r="E76" t="str">
        <f t="shared" si="4"/>
        <v>Cozamin_Cu cathode</v>
      </c>
      <c r="F76" t="s">
        <v>57</v>
      </c>
      <c r="G76">
        <v>24451</v>
      </c>
      <c r="H76" t="s">
        <v>59</v>
      </c>
      <c r="I76">
        <f>G76</f>
        <v>24451</v>
      </c>
      <c r="J76" t="s">
        <v>17</v>
      </c>
      <c r="K76">
        <f>I76*Parameters!B11</f>
        <v>252652183</v>
      </c>
      <c r="L76" s="14">
        <f>K76/SUM($K$76:$K$78)</f>
        <v>0.86435267090112367</v>
      </c>
    </row>
    <row r="77" spans="1:12" x14ac:dyDescent="0.35">
      <c r="A77" t="s">
        <v>50</v>
      </c>
      <c r="B77" t="s">
        <v>72</v>
      </c>
      <c r="C77" t="str">
        <f>VLOOKUP(B77,EnergyData_Processed!$B$2:$C$102,2,FALSE)</f>
        <v>Cu cathode</v>
      </c>
      <c r="D77" t="s">
        <v>351</v>
      </c>
      <c r="E77" t="str">
        <f t="shared" si="4"/>
        <v>Cozamin_Zn metal</v>
      </c>
      <c r="F77" t="s">
        <v>76</v>
      </c>
      <c r="G77">
        <v>770</v>
      </c>
      <c r="H77" t="s">
        <v>59</v>
      </c>
      <c r="I77">
        <f>G77</f>
        <v>770</v>
      </c>
      <c r="J77" t="s">
        <v>17</v>
      </c>
      <c r="K77">
        <f>I77*Parameters!B17</f>
        <v>2435510</v>
      </c>
      <c r="L77" s="13">
        <f>K77/SUM($K$76:$K$78)</f>
        <v>8.3321645928798316E-3</v>
      </c>
    </row>
    <row r="78" spans="1:12" x14ac:dyDescent="0.35">
      <c r="A78" t="s">
        <v>50</v>
      </c>
      <c r="B78" t="s">
        <v>72</v>
      </c>
      <c r="C78" t="str">
        <f>VLOOKUP(B78,EnergyData_Processed!$B$2:$C$102,2,FALSE)</f>
        <v>Cu cathode</v>
      </c>
      <c r="D78" t="s">
        <v>346</v>
      </c>
      <c r="E78" t="str">
        <f t="shared" si="4"/>
        <v>Cozamin_Ag metal</v>
      </c>
      <c r="F78" t="s">
        <v>77</v>
      </c>
      <c r="G78">
        <v>1376000</v>
      </c>
      <c r="H78" t="s">
        <v>79</v>
      </c>
      <c r="I78" s="6">
        <f>G78*Parameters!D3</f>
        <v>39.008912000000002</v>
      </c>
      <c r="J78" s="3" t="s">
        <v>17</v>
      </c>
      <c r="K78" s="5">
        <f>I78*Parameters!B15</f>
        <v>37214502.048</v>
      </c>
      <c r="L78" s="13">
        <f>K78/SUM($K$76:$K$78)</f>
        <v>0.12731516450599653</v>
      </c>
    </row>
    <row r="79" spans="1:12" s="8" customFormat="1" x14ac:dyDescent="0.35">
      <c r="A79" s="8" t="s">
        <v>120</v>
      </c>
      <c r="B79" s="8" t="s">
        <v>121</v>
      </c>
      <c r="C79" s="8" t="str">
        <f>VLOOKUP(B79,EnergyData_Processed!$B$2:$C$102,2,FALSE)</f>
        <v>Cu concentrate &amp; cathode</v>
      </c>
      <c r="D79" s="8" t="s">
        <v>369</v>
      </c>
      <c r="E79" s="8" t="str">
        <f t="shared" si="4"/>
        <v>Bagdad_NA</v>
      </c>
      <c r="F79" s="8" t="s">
        <v>133</v>
      </c>
      <c r="G79" s="12">
        <v>66224</v>
      </c>
      <c r="H79" s="8" t="s">
        <v>59</v>
      </c>
      <c r="I79" s="8">
        <f t="shared" ref="I79:I84" si="5">G79</f>
        <v>66224</v>
      </c>
      <c r="J79" s="8" t="s">
        <v>17</v>
      </c>
      <c r="K79" s="8" t="s">
        <v>369</v>
      </c>
      <c r="L79" s="8" t="s">
        <v>369</v>
      </c>
    </row>
    <row r="80" spans="1:12" s="8" customFormat="1" x14ac:dyDescent="0.35">
      <c r="A80" s="8" t="s">
        <v>120</v>
      </c>
      <c r="B80" s="8" t="s">
        <v>121</v>
      </c>
      <c r="C80" s="8" t="str">
        <f>VLOOKUP(B80,EnergyData_Processed!$B$2:$C$102,2,FALSE)</f>
        <v>Cu concentrate &amp; cathode</v>
      </c>
      <c r="D80" s="8" t="s">
        <v>369</v>
      </c>
      <c r="E80" s="8" t="str">
        <f t="shared" si="4"/>
        <v>Bagdad_NA</v>
      </c>
      <c r="F80" s="8" t="s">
        <v>135</v>
      </c>
      <c r="G80" s="8">
        <v>4536</v>
      </c>
      <c r="H80" s="8" t="s">
        <v>59</v>
      </c>
      <c r="I80" s="8">
        <f t="shared" si="5"/>
        <v>4536</v>
      </c>
      <c r="J80" s="8" t="s">
        <v>17</v>
      </c>
      <c r="K80" s="8" t="s">
        <v>369</v>
      </c>
      <c r="L80" s="8" t="s">
        <v>369</v>
      </c>
    </row>
    <row r="81" spans="1:12" s="8" customFormat="1" x14ac:dyDescent="0.35">
      <c r="A81" s="8" t="s">
        <v>120</v>
      </c>
      <c r="B81" s="8" t="s">
        <v>152</v>
      </c>
      <c r="C81" s="8" t="str">
        <f>VLOOKUP(B81,EnergyData_Processed!$B$2:$C$102,2,FALSE)</f>
        <v>Cu concentrate &amp; cathode</v>
      </c>
      <c r="D81" s="8" t="s">
        <v>369</v>
      </c>
      <c r="E81" s="8" t="str">
        <f t="shared" si="4"/>
        <v>Morenci_NA</v>
      </c>
      <c r="F81" s="8" t="s">
        <v>158</v>
      </c>
      <c r="G81" s="8">
        <v>362244</v>
      </c>
      <c r="H81" s="8" t="s">
        <v>59</v>
      </c>
      <c r="I81" s="8">
        <f t="shared" si="5"/>
        <v>362244</v>
      </c>
      <c r="J81" s="8" t="s">
        <v>17</v>
      </c>
      <c r="K81" s="8" t="s">
        <v>369</v>
      </c>
      <c r="L81" s="8" t="s">
        <v>369</v>
      </c>
    </row>
    <row r="82" spans="1:12" s="8" customFormat="1" x14ac:dyDescent="0.35">
      <c r="A82" s="8" t="s">
        <v>120</v>
      </c>
      <c r="B82" s="8" t="s">
        <v>152</v>
      </c>
      <c r="C82" s="8" t="str">
        <f>VLOOKUP(B82,EnergyData_Processed!$B$2:$C$102,2,FALSE)</f>
        <v>Cu concentrate &amp; cathode</v>
      </c>
      <c r="D82" s="8" t="s">
        <v>369</v>
      </c>
      <c r="E82" s="8" t="str">
        <f t="shared" si="4"/>
        <v>Morenci_NA</v>
      </c>
      <c r="F82" s="8" t="s">
        <v>160</v>
      </c>
      <c r="G82" s="8">
        <v>1640.0786106854225</v>
      </c>
      <c r="H82" s="8" t="s">
        <v>59</v>
      </c>
      <c r="I82" s="8">
        <f t="shared" si="5"/>
        <v>1640.0786106854225</v>
      </c>
      <c r="J82" s="8" t="s">
        <v>17</v>
      </c>
      <c r="K82" s="8" t="s">
        <v>369</v>
      </c>
      <c r="L82" s="8" t="s">
        <v>369</v>
      </c>
    </row>
    <row r="83" spans="1:12" s="8" customFormat="1" x14ac:dyDescent="0.35">
      <c r="A83" s="8" t="s">
        <v>120</v>
      </c>
      <c r="B83" s="8" t="s">
        <v>178</v>
      </c>
      <c r="C83" s="8" t="str">
        <f>VLOOKUP(B83,EnergyData_Processed!$B$2:$C$102,2,FALSE)</f>
        <v>Cu concentrate &amp; cathode</v>
      </c>
      <c r="D83" s="8" t="s">
        <v>369</v>
      </c>
      <c r="E83" s="8" t="str">
        <f t="shared" si="4"/>
        <v>Cerro Verde_NA</v>
      </c>
      <c r="F83" s="8" t="s">
        <v>39</v>
      </c>
      <c r="G83" s="8">
        <v>447035</v>
      </c>
      <c r="H83" s="8" t="s">
        <v>59</v>
      </c>
      <c r="I83" s="8">
        <f t="shared" si="5"/>
        <v>447035</v>
      </c>
      <c r="J83" s="8" t="s">
        <v>17</v>
      </c>
      <c r="K83" s="8" t="s">
        <v>369</v>
      </c>
      <c r="L83" s="8" t="s">
        <v>369</v>
      </c>
    </row>
    <row r="84" spans="1:12" s="8" customFormat="1" x14ac:dyDescent="0.35">
      <c r="A84" s="8" t="s">
        <v>120</v>
      </c>
      <c r="B84" s="8" t="s">
        <v>178</v>
      </c>
      <c r="C84" s="8" t="str">
        <f>VLOOKUP(B84,EnergyData_Processed!$B$2:$C$102,2,FALSE)</f>
        <v>Cu concentrate &amp; cathode</v>
      </c>
      <c r="D84" s="8" t="s">
        <v>369</v>
      </c>
      <c r="E84" s="8" t="str">
        <f t="shared" si="4"/>
        <v>Cerro Verde_NA</v>
      </c>
      <c r="F84" s="8" t="s">
        <v>173</v>
      </c>
      <c r="G84" s="8">
        <v>9874</v>
      </c>
      <c r="H84" s="8" t="s">
        <v>59</v>
      </c>
      <c r="I84" s="8">
        <f t="shared" si="5"/>
        <v>9874</v>
      </c>
      <c r="J84" s="8" t="s">
        <v>17</v>
      </c>
      <c r="K84" s="8" t="s">
        <v>369</v>
      </c>
      <c r="L84" s="8" t="s">
        <v>369</v>
      </c>
    </row>
    <row r="85" spans="1:12" s="8" customFormat="1" x14ac:dyDescent="0.35">
      <c r="A85" s="8" t="s">
        <v>120</v>
      </c>
      <c r="B85" s="8" t="s">
        <v>178</v>
      </c>
      <c r="C85" s="8" t="str">
        <f>VLOOKUP(B85,EnergyData_Processed!$B$2:$C$102,2,FALSE)</f>
        <v>Cu concentrate &amp; cathode</v>
      </c>
      <c r="D85" s="8" t="s">
        <v>369</v>
      </c>
      <c r="E85" s="8" t="str">
        <f t="shared" si="4"/>
        <v>Cerro Verde_NA</v>
      </c>
      <c r="F85" s="8" t="s">
        <v>174</v>
      </c>
      <c r="G85" s="8">
        <v>4076615</v>
      </c>
      <c r="H85" s="8" t="s">
        <v>20</v>
      </c>
      <c r="I85" s="9">
        <f>G85*Parameters!D3</f>
        <v>115.5699969425</v>
      </c>
      <c r="J85" s="10" t="s">
        <v>17</v>
      </c>
      <c r="K85" s="8" t="s">
        <v>369</v>
      </c>
      <c r="L85" s="8" t="s">
        <v>369</v>
      </c>
    </row>
    <row r="86" spans="1:12" s="8" customFormat="1" x14ac:dyDescent="0.35">
      <c r="A86" s="8" t="s">
        <v>120</v>
      </c>
      <c r="B86" s="8" t="s">
        <v>186</v>
      </c>
      <c r="C86" s="8" t="str">
        <f>VLOOKUP(B86,EnergyData_Processed!$B$2:$C$102,2,FALSE)</f>
        <v>Cu concentrate &amp; cathode</v>
      </c>
      <c r="D86" s="8" t="s">
        <v>369</v>
      </c>
      <c r="E86" s="8" t="str">
        <f t="shared" si="4"/>
        <v>Chino_NA</v>
      </c>
      <c r="F86" s="8" t="s">
        <v>39</v>
      </c>
      <c r="G86" s="8">
        <v>63956</v>
      </c>
      <c r="H86" s="8" t="s">
        <v>193</v>
      </c>
      <c r="I86" s="8">
        <f>G86</f>
        <v>63956</v>
      </c>
      <c r="J86" s="8" t="s">
        <v>17</v>
      </c>
      <c r="K86" s="8" t="s">
        <v>369</v>
      </c>
      <c r="L86" s="8" t="s">
        <v>369</v>
      </c>
    </row>
    <row r="87" spans="1:12" s="8" customFormat="1" x14ac:dyDescent="0.35">
      <c r="A87" s="8" t="s">
        <v>120</v>
      </c>
      <c r="B87" s="8" t="s">
        <v>194</v>
      </c>
      <c r="C87" s="8" t="str">
        <f>VLOOKUP(B87,EnergyData_Processed!$B$2:$C$102,2,FALSE)</f>
        <v>Cu concentrate &amp; cathode</v>
      </c>
      <c r="D87" s="8" t="s">
        <v>369</v>
      </c>
      <c r="E87" s="8" t="str">
        <f t="shared" si="4"/>
        <v>Sierrita_NA</v>
      </c>
      <c r="F87" s="8" t="s">
        <v>39</v>
      </c>
      <c r="G87" s="8">
        <v>83915</v>
      </c>
      <c r="H87" s="8" t="s">
        <v>59</v>
      </c>
      <c r="I87" s="8">
        <f>G87</f>
        <v>83915</v>
      </c>
      <c r="J87" s="8" t="s">
        <v>17</v>
      </c>
      <c r="K87" s="8" t="s">
        <v>369</v>
      </c>
      <c r="L87" s="8" t="s">
        <v>369</v>
      </c>
    </row>
    <row r="88" spans="1:12" s="8" customFormat="1" x14ac:dyDescent="0.35">
      <c r="A88" s="8" t="s">
        <v>120</v>
      </c>
      <c r="B88" s="8" t="s">
        <v>194</v>
      </c>
      <c r="C88" s="8" t="str">
        <f>VLOOKUP(B88,EnergyData_Processed!$B$2:$C$102,2,FALSE)</f>
        <v>Cu concentrate &amp; cathode</v>
      </c>
      <c r="D88" s="8" t="s">
        <v>369</v>
      </c>
      <c r="E88" s="8" t="str">
        <f t="shared" si="4"/>
        <v>Sierrita_NA</v>
      </c>
      <c r="F88" s="8" t="s">
        <v>200</v>
      </c>
      <c r="G88" s="8">
        <v>8165</v>
      </c>
      <c r="H88" s="8" t="s">
        <v>59</v>
      </c>
      <c r="I88" s="8">
        <f>G88</f>
        <v>8165</v>
      </c>
      <c r="J88" s="8" t="s">
        <v>17</v>
      </c>
      <c r="K88" s="8" t="s">
        <v>369</v>
      </c>
      <c r="L88" s="8" t="s">
        <v>369</v>
      </c>
    </row>
    <row r="89" spans="1:12" s="8" customFormat="1" x14ac:dyDescent="0.35">
      <c r="A89" s="8" t="s">
        <v>120</v>
      </c>
      <c r="B89" s="8" t="s">
        <v>194</v>
      </c>
      <c r="C89" s="8" t="str">
        <f>VLOOKUP(B89,EnergyData_Processed!$B$2:$C$102,2,FALSE)</f>
        <v>Cu concentrate &amp; cathode</v>
      </c>
      <c r="D89" s="8" t="s">
        <v>369</v>
      </c>
      <c r="E89" s="8" t="str">
        <f t="shared" si="4"/>
        <v>Sierrita_NA</v>
      </c>
      <c r="F89" s="8" t="s">
        <v>174</v>
      </c>
      <c r="G89" s="8">
        <v>57800000</v>
      </c>
      <c r="H89" s="8" t="s">
        <v>20</v>
      </c>
      <c r="I89" s="9">
        <f>G89*Parameters!D3</f>
        <v>1638.6011000000001</v>
      </c>
      <c r="J89" s="10" t="s">
        <v>17</v>
      </c>
      <c r="K89" s="8" t="s">
        <v>369</v>
      </c>
      <c r="L89" s="8" t="s">
        <v>369</v>
      </c>
    </row>
    <row r="90" spans="1:12" x14ac:dyDescent="0.35">
      <c r="A90" t="s">
        <v>380</v>
      </c>
      <c r="B90" t="s">
        <v>381</v>
      </c>
      <c r="C90" t="str">
        <f>VLOOKUP(B90,EnergyData_Processed!$B$2:$C$102,2,FALSE)</f>
        <v>Cu concentrate &amp; cathode</v>
      </c>
      <c r="D90" t="s">
        <v>12</v>
      </c>
      <c r="E90" t="str">
        <f t="shared" si="4"/>
        <v>Mina Justa _Cu concentrate</v>
      </c>
      <c r="F90" t="s">
        <v>384</v>
      </c>
      <c r="G90">
        <v>107922</v>
      </c>
      <c r="H90" t="s">
        <v>285</v>
      </c>
      <c r="I90">
        <f>G90</f>
        <v>107922</v>
      </c>
      <c r="J90" t="s">
        <v>17</v>
      </c>
      <c r="K90">
        <f>I90*Parameters!B10</f>
        <v>1070551704.96</v>
      </c>
      <c r="L90" s="13">
        <f>K90/SUM($K$90:$K$91)</f>
        <v>0.72492134012579978</v>
      </c>
    </row>
    <row r="91" spans="1:12" x14ac:dyDescent="0.35">
      <c r="A91" t="s">
        <v>380</v>
      </c>
      <c r="B91" t="s">
        <v>381</v>
      </c>
      <c r="C91" t="str">
        <f>VLOOKUP(B91,EnergyData_Processed!$B$2:$C$102,2,FALSE)</f>
        <v>Cu concentrate &amp; cathode</v>
      </c>
      <c r="D91" t="s">
        <v>319</v>
      </c>
      <c r="E91" t="str">
        <f t="shared" si="4"/>
        <v>Mina Justa _Cu cathode</v>
      </c>
      <c r="F91" t="s">
        <v>385</v>
      </c>
      <c r="G91">
        <v>39314</v>
      </c>
      <c r="H91" t="s">
        <v>285</v>
      </c>
      <c r="I91">
        <f>G91</f>
        <v>39314</v>
      </c>
      <c r="J91" t="s">
        <v>17</v>
      </c>
      <c r="K91">
        <f>I91*Parameters!B11</f>
        <v>406231562</v>
      </c>
      <c r="L91" s="13">
        <f>K91/SUM($K$90:$K$91)</f>
        <v>0.27507865987420016</v>
      </c>
    </row>
  </sheetData>
  <autoFilter ref="A1:L1" xr:uid="{824ED02F-6F63-41C8-B1F2-C3D1ABEA453E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B7A2-7338-49EA-A835-5D6F474CADEC}">
  <dimension ref="A1:H102"/>
  <sheetViews>
    <sheetView zoomScale="80" zoomScaleNormal="80" workbookViewId="0">
      <selection activeCell="G55" sqref="G55"/>
    </sheetView>
  </sheetViews>
  <sheetFormatPr baseColWidth="10" defaultRowHeight="14.5" x14ac:dyDescent="0.35"/>
  <cols>
    <col min="1" max="1" width="22.81640625" bestFit="1" customWidth="1"/>
    <col min="2" max="2" width="21.7265625" bestFit="1" customWidth="1"/>
    <col min="3" max="3" width="23.7265625" bestFit="1" customWidth="1"/>
    <col min="4" max="4" width="48.1796875" bestFit="1" customWidth="1"/>
    <col min="5" max="5" width="12" bestFit="1" customWidth="1"/>
    <col min="7" max="7" width="15.453125" customWidth="1"/>
    <col min="8" max="8" width="17.1796875" customWidth="1"/>
  </cols>
  <sheetData>
    <row r="1" spans="1:8" x14ac:dyDescent="0.35">
      <c r="A1" s="1" t="s">
        <v>0</v>
      </c>
      <c r="B1" s="1" t="s">
        <v>1</v>
      </c>
      <c r="C1" s="1" t="s">
        <v>317</v>
      </c>
      <c r="D1" s="1" t="s">
        <v>2</v>
      </c>
      <c r="E1" s="1" t="s">
        <v>320</v>
      </c>
      <c r="F1" s="1" t="s">
        <v>321</v>
      </c>
      <c r="G1" s="1" t="s">
        <v>323</v>
      </c>
      <c r="H1" s="1" t="s">
        <v>324</v>
      </c>
    </row>
    <row r="2" spans="1:8" x14ac:dyDescent="0.35">
      <c r="A2" t="s">
        <v>120</v>
      </c>
      <c r="B2" t="s">
        <v>185</v>
      </c>
      <c r="C2" t="s">
        <v>319</v>
      </c>
      <c r="D2" t="s">
        <v>122</v>
      </c>
      <c r="E2">
        <v>2398</v>
      </c>
      <c r="F2" t="s">
        <v>128</v>
      </c>
      <c r="G2" s="3">
        <f>E2*1000</f>
        <v>2398000</v>
      </c>
      <c r="H2" s="3" t="s">
        <v>9</v>
      </c>
    </row>
    <row r="3" spans="1:8" x14ac:dyDescent="0.35">
      <c r="A3" t="s">
        <v>120</v>
      </c>
      <c r="B3" t="s">
        <v>185</v>
      </c>
      <c r="C3" t="s">
        <v>319</v>
      </c>
      <c r="D3" t="s">
        <v>123</v>
      </c>
      <c r="E3">
        <v>1110.5999999999999</v>
      </c>
      <c r="F3" t="s">
        <v>128</v>
      </c>
      <c r="G3" s="3">
        <f>E3*1000</f>
        <v>1110600</v>
      </c>
      <c r="H3" s="3" t="s">
        <v>9</v>
      </c>
    </row>
    <row r="4" spans="1:8" x14ac:dyDescent="0.35">
      <c r="A4" t="s">
        <v>120</v>
      </c>
      <c r="B4" t="s">
        <v>185</v>
      </c>
      <c r="C4" t="s">
        <v>319</v>
      </c>
      <c r="D4" t="s">
        <v>124</v>
      </c>
      <c r="E4">
        <v>5.8</v>
      </c>
      <c r="F4" t="s">
        <v>128</v>
      </c>
      <c r="G4" s="3">
        <f>E4*1000</f>
        <v>5800</v>
      </c>
      <c r="H4" s="3" t="s">
        <v>9</v>
      </c>
    </row>
    <row r="5" spans="1:8" x14ac:dyDescent="0.35">
      <c r="A5" t="s">
        <v>120</v>
      </c>
      <c r="B5" t="s">
        <v>185</v>
      </c>
      <c r="C5" t="s">
        <v>319</v>
      </c>
      <c r="D5" t="s">
        <v>126</v>
      </c>
      <c r="E5">
        <v>4.2</v>
      </c>
      <c r="F5" t="s">
        <v>128</v>
      </c>
      <c r="G5" s="3">
        <f>E5*1000</f>
        <v>4200</v>
      </c>
      <c r="H5" s="3" t="s">
        <v>9</v>
      </c>
    </row>
    <row r="6" spans="1:8" x14ac:dyDescent="0.35">
      <c r="A6" t="s">
        <v>232</v>
      </c>
      <c r="B6" t="s">
        <v>233</v>
      </c>
      <c r="C6" t="s">
        <v>319</v>
      </c>
      <c r="D6" t="s">
        <v>234</v>
      </c>
      <c r="E6">
        <v>1160907</v>
      </c>
      <c r="F6" t="s">
        <v>9</v>
      </c>
      <c r="G6" s="4">
        <f t="shared" ref="G6:H11" si="0">E6</f>
        <v>1160907</v>
      </c>
      <c r="H6" t="str">
        <f t="shared" si="0"/>
        <v>GJ</v>
      </c>
    </row>
    <row r="7" spans="1:8" x14ac:dyDescent="0.35">
      <c r="A7" t="s">
        <v>232</v>
      </c>
      <c r="B7" t="s">
        <v>233</v>
      </c>
      <c r="C7" t="s">
        <v>319</v>
      </c>
      <c r="D7" t="s">
        <v>235</v>
      </c>
      <c r="E7">
        <v>503140</v>
      </c>
      <c r="F7" t="s">
        <v>9</v>
      </c>
      <c r="G7" s="4">
        <f t="shared" si="0"/>
        <v>503140</v>
      </c>
      <c r="H7" t="str">
        <f t="shared" si="0"/>
        <v>GJ</v>
      </c>
    </row>
    <row r="8" spans="1:8" x14ac:dyDescent="0.35">
      <c r="A8" t="s">
        <v>80</v>
      </c>
      <c r="B8" t="s">
        <v>81</v>
      </c>
      <c r="C8" t="s">
        <v>319</v>
      </c>
      <c r="D8" t="s">
        <v>82</v>
      </c>
      <c r="E8">
        <v>247160</v>
      </c>
      <c r="F8" t="s">
        <v>9</v>
      </c>
      <c r="G8">
        <f t="shared" si="0"/>
        <v>247160</v>
      </c>
      <c r="H8" t="str">
        <f t="shared" si="0"/>
        <v>GJ</v>
      </c>
    </row>
    <row r="9" spans="1:8" x14ac:dyDescent="0.35">
      <c r="A9" t="s">
        <v>80</v>
      </c>
      <c r="B9" t="s">
        <v>81</v>
      </c>
      <c r="C9" t="s">
        <v>319</v>
      </c>
      <c r="D9" t="s">
        <v>83</v>
      </c>
      <c r="E9">
        <v>14316</v>
      </c>
      <c r="F9" t="s">
        <v>9</v>
      </c>
      <c r="G9">
        <f t="shared" si="0"/>
        <v>14316</v>
      </c>
      <c r="H9" t="str">
        <f t="shared" si="0"/>
        <v>GJ</v>
      </c>
    </row>
    <row r="10" spans="1:8" x14ac:dyDescent="0.35">
      <c r="A10" t="s">
        <v>80</v>
      </c>
      <c r="B10" t="s">
        <v>81</v>
      </c>
      <c r="C10" t="s">
        <v>319</v>
      </c>
      <c r="D10" t="s">
        <v>84</v>
      </c>
      <c r="E10">
        <v>2553</v>
      </c>
      <c r="F10" t="s">
        <v>9</v>
      </c>
      <c r="G10">
        <f t="shared" si="0"/>
        <v>2553</v>
      </c>
      <c r="H10" t="str">
        <f t="shared" si="0"/>
        <v>GJ</v>
      </c>
    </row>
    <row r="11" spans="1:8" x14ac:dyDescent="0.35">
      <c r="A11" t="s">
        <v>80</v>
      </c>
      <c r="B11" t="s">
        <v>81</v>
      </c>
      <c r="C11" t="s">
        <v>319</v>
      </c>
      <c r="D11" t="s">
        <v>85</v>
      </c>
      <c r="E11">
        <v>209820</v>
      </c>
      <c r="F11" t="s">
        <v>9</v>
      </c>
      <c r="G11">
        <f t="shared" si="0"/>
        <v>209820</v>
      </c>
      <c r="H11" t="str">
        <f t="shared" si="0"/>
        <v>GJ</v>
      </c>
    </row>
    <row r="12" spans="1:8" x14ac:dyDescent="0.35">
      <c r="A12" t="s">
        <v>120</v>
      </c>
      <c r="B12" t="s">
        <v>204</v>
      </c>
      <c r="C12" t="s">
        <v>319</v>
      </c>
      <c r="D12" t="s">
        <v>122</v>
      </c>
      <c r="E12">
        <v>1392</v>
      </c>
      <c r="F12" t="s">
        <v>128</v>
      </c>
      <c r="G12" s="3">
        <f t="shared" ref="G12:G21" si="1">E12*1000</f>
        <v>1392000</v>
      </c>
      <c r="H12" s="3" t="s">
        <v>9</v>
      </c>
    </row>
    <row r="13" spans="1:8" x14ac:dyDescent="0.35">
      <c r="A13" t="s">
        <v>120</v>
      </c>
      <c r="B13" t="s">
        <v>204</v>
      </c>
      <c r="C13" t="s">
        <v>319</v>
      </c>
      <c r="D13" t="s">
        <v>123</v>
      </c>
      <c r="E13">
        <v>2857.1</v>
      </c>
      <c r="F13" t="s">
        <v>128</v>
      </c>
      <c r="G13" s="3">
        <f t="shared" si="1"/>
        <v>2857100</v>
      </c>
      <c r="H13" s="3" t="s">
        <v>9</v>
      </c>
    </row>
    <row r="14" spans="1:8" x14ac:dyDescent="0.35">
      <c r="A14" t="s">
        <v>120</v>
      </c>
      <c r="B14" t="s">
        <v>204</v>
      </c>
      <c r="C14" t="s">
        <v>319</v>
      </c>
      <c r="D14" t="s">
        <v>124</v>
      </c>
      <c r="E14">
        <v>59.9</v>
      </c>
      <c r="F14" t="s">
        <v>128</v>
      </c>
      <c r="G14" s="3">
        <f t="shared" si="1"/>
        <v>59900</v>
      </c>
      <c r="H14" s="3" t="s">
        <v>9</v>
      </c>
    </row>
    <row r="15" spans="1:8" x14ac:dyDescent="0.35">
      <c r="A15" t="s">
        <v>120</v>
      </c>
      <c r="B15" t="s">
        <v>204</v>
      </c>
      <c r="C15" t="s">
        <v>319</v>
      </c>
      <c r="D15" t="s">
        <v>126</v>
      </c>
      <c r="E15">
        <v>28.2</v>
      </c>
      <c r="F15" t="s">
        <v>128</v>
      </c>
      <c r="G15" s="3">
        <f t="shared" si="1"/>
        <v>28200</v>
      </c>
      <c r="H15" s="3" t="s">
        <v>9</v>
      </c>
    </row>
    <row r="16" spans="1:8" x14ac:dyDescent="0.35">
      <c r="A16" t="s">
        <v>120</v>
      </c>
      <c r="B16" t="s">
        <v>168</v>
      </c>
      <c r="C16" t="s">
        <v>319</v>
      </c>
      <c r="D16" t="s">
        <v>122</v>
      </c>
      <c r="E16">
        <v>764</v>
      </c>
      <c r="F16" t="s">
        <v>128</v>
      </c>
      <c r="G16" s="3">
        <f t="shared" si="1"/>
        <v>764000</v>
      </c>
      <c r="H16" s="3" t="s">
        <v>9</v>
      </c>
    </row>
    <row r="17" spans="1:8" x14ac:dyDescent="0.35">
      <c r="A17" t="s">
        <v>120</v>
      </c>
      <c r="B17" t="s">
        <v>168</v>
      </c>
      <c r="C17" t="s">
        <v>319</v>
      </c>
      <c r="D17" t="s">
        <v>123</v>
      </c>
      <c r="E17">
        <v>584</v>
      </c>
      <c r="F17" t="s">
        <v>128</v>
      </c>
      <c r="G17" s="3">
        <f t="shared" si="1"/>
        <v>584000</v>
      </c>
      <c r="H17" s="3" t="s">
        <v>9</v>
      </c>
    </row>
    <row r="18" spans="1:8" x14ac:dyDescent="0.35">
      <c r="A18" t="s">
        <v>120</v>
      </c>
      <c r="B18" t="s">
        <v>168</v>
      </c>
      <c r="C18" t="s">
        <v>319</v>
      </c>
      <c r="D18" t="s">
        <v>161</v>
      </c>
      <c r="E18">
        <v>7.5</v>
      </c>
      <c r="F18" t="s">
        <v>128</v>
      </c>
      <c r="G18" s="3">
        <f t="shared" si="1"/>
        <v>7500</v>
      </c>
      <c r="H18" s="3" t="s">
        <v>9</v>
      </c>
    </row>
    <row r="19" spans="1:8" x14ac:dyDescent="0.35">
      <c r="A19" t="s">
        <v>120</v>
      </c>
      <c r="B19" t="s">
        <v>168</v>
      </c>
      <c r="C19" t="s">
        <v>319</v>
      </c>
      <c r="D19" t="s">
        <v>124</v>
      </c>
      <c r="E19">
        <v>18.3</v>
      </c>
      <c r="F19" t="s">
        <v>128</v>
      </c>
      <c r="G19" s="3">
        <f t="shared" si="1"/>
        <v>18300</v>
      </c>
      <c r="H19" s="3" t="s">
        <v>9</v>
      </c>
    </row>
    <row r="20" spans="1:8" x14ac:dyDescent="0.35">
      <c r="A20" t="s">
        <v>120</v>
      </c>
      <c r="B20" t="s">
        <v>168</v>
      </c>
      <c r="C20" t="s">
        <v>319</v>
      </c>
      <c r="D20" t="s">
        <v>125</v>
      </c>
      <c r="E20">
        <v>21.1</v>
      </c>
      <c r="F20" t="s">
        <v>128</v>
      </c>
      <c r="G20" s="3">
        <f t="shared" si="1"/>
        <v>21100</v>
      </c>
      <c r="H20" s="3" t="s">
        <v>9</v>
      </c>
    </row>
    <row r="21" spans="1:8" x14ac:dyDescent="0.35">
      <c r="A21" t="s">
        <v>120</v>
      </c>
      <c r="B21" t="s">
        <v>168</v>
      </c>
      <c r="C21" t="s">
        <v>319</v>
      </c>
      <c r="D21" t="s">
        <v>126</v>
      </c>
      <c r="E21">
        <v>2.7</v>
      </c>
      <c r="F21" t="s">
        <v>128</v>
      </c>
      <c r="G21" s="3">
        <f t="shared" si="1"/>
        <v>2700</v>
      </c>
      <c r="H21" s="3" t="s">
        <v>9</v>
      </c>
    </row>
    <row r="22" spans="1:8" x14ac:dyDescent="0.35">
      <c r="A22" t="s">
        <v>278</v>
      </c>
      <c r="B22" t="s">
        <v>279</v>
      </c>
      <c r="C22" t="s">
        <v>319</v>
      </c>
      <c r="D22" t="s">
        <v>53</v>
      </c>
      <c r="E22">
        <v>62928340</v>
      </c>
      <c r="F22" t="s">
        <v>95</v>
      </c>
      <c r="G22" s="3">
        <f>E22*Parameters!D2</f>
        <v>226542.024</v>
      </c>
      <c r="H22" s="3" t="s">
        <v>9</v>
      </c>
    </row>
    <row r="23" spans="1:8" x14ac:dyDescent="0.35">
      <c r="A23" t="s">
        <v>278</v>
      </c>
      <c r="B23" t="s">
        <v>279</v>
      </c>
      <c r="C23" t="s">
        <v>319</v>
      </c>
      <c r="D23" t="s">
        <v>107</v>
      </c>
      <c r="E23">
        <v>696.72</v>
      </c>
      <c r="F23" t="s">
        <v>282</v>
      </c>
      <c r="G23">
        <f>E23</f>
        <v>696.72</v>
      </c>
      <c r="H23" t="s">
        <v>9</v>
      </c>
    </row>
    <row r="24" spans="1:8" x14ac:dyDescent="0.35">
      <c r="A24" t="s">
        <v>278</v>
      </c>
      <c r="B24" t="s">
        <v>279</v>
      </c>
      <c r="C24" t="s">
        <v>319</v>
      </c>
      <c r="D24" t="s">
        <v>283</v>
      </c>
      <c r="E24">
        <v>553955.97</v>
      </c>
      <c r="F24" t="s">
        <v>282</v>
      </c>
      <c r="G24">
        <f>E24</f>
        <v>553955.97</v>
      </c>
      <c r="H24" t="s">
        <v>9</v>
      </c>
    </row>
    <row r="25" spans="1:8" x14ac:dyDescent="0.35">
      <c r="A25" t="s">
        <v>210</v>
      </c>
      <c r="B25" t="s">
        <v>211</v>
      </c>
      <c r="C25" t="s">
        <v>318</v>
      </c>
      <c r="D25" t="s">
        <v>6</v>
      </c>
      <c r="E25">
        <v>1.43</v>
      </c>
      <c r="F25" t="s">
        <v>213</v>
      </c>
      <c r="G25" s="3">
        <f>E25*1000000</f>
        <v>1430000</v>
      </c>
      <c r="H25" s="3" t="s">
        <v>9</v>
      </c>
    </row>
    <row r="26" spans="1:8" x14ac:dyDescent="0.35">
      <c r="A26" t="s">
        <v>210</v>
      </c>
      <c r="B26" t="s">
        <v>211</v>
      </c>
      <c r="C26" t="s">
        <v>318</v>
      </c>
      <c r="D26" t="s">
        <v>10</v>
      </c>
      <c r="E26">
        <v>7.02</v>
      </c>
      <c r="F26" t="s">
        <v>213</v>
      </c>
      <c r="G26" s="3">
        <f>E26*1000000</f>
        <v>7020000</v>
      </c>
      <c r="H26" s="3" t="s">
        <v>9</v>
      </c>
    </row>
    <row r="27" spans="1:8" x14ac:dyDescent="0.35">
      <c r="A27" t="s">
        <v>286</v>
      </c>
      <c r="B27" t="s">
        <v>287</v>
      </c>
      <c r="C27" t="s">
        <v>12</v>
      </c>
      <c r="D27" t="s">
        <v>288</v>
      </c>
      <c r="E27">
        <v>20950747</v>
      </c>
      <c r="F27" t="s">
        <v>9</v>
      </c>
      <c r="G27">
        <f>E27</f>
        <v>20950747</v>
      </c>
      <c r="H27" t="str">
        <f>F27</f>
        <v>GJ</v>
      </c>
    </row>
    <row r="28" spans="1:8" x14ac:dyDescent="0.35">
      <c r="A28" t="s">
        <v>286</v>
      </c>
      <c r="B28" t="s">
        <v>287</v>
      </c>
      <c r="C28" t="s">
        <v>12</v>
      </c>
      <c r="D28" t="s">
        <v>289</v>
      </c>
      <c r="E28" s="2">
        <v>0</v>
      </c>
      <c r="F28" t="s">
        <v>291</v>
      </c>
      <c r="G28" s="2">
        <f>E28</f>
        <v>0</v>
      </c>
      <c r="H28" t="s">
        <v>9</v>
      </c>
    </row>
    <row r="29" spans="1:8" x14ac:dyDescent="0.35">
      <c r="A29" t="s">
        <v>210</v>
      </c>
      <c r="B29" t="s">
        <v>221</v>
      </c>
      <c r="C29" t="s">
        <v>12</v>
      </c>
      <c r="D29" t="s">
        <v>6</v>
      </c>
      <c r="E29">
        <v>1.45</v>
      </c>
      <c r="F29" t="s">
        <v>213</v>
      </c>
      <c r="G29" s="3">
        <f>E29*1000000</f>
        <v>1450000</v>
      </c>
      <c r="H29" s="3" t="s">
        <v>9</v>
      </c>
    </row>
    <row r="30" spans="1:8" x14ac:dyDescent="0.35">
      <c r="A30" t="s">
        <v>210</v>
      </c>
      <c r="B30" t="s">
        <v>221</v>
      </c>
      <c r="C30" t="s">
        <v>12</v>
      </c>
      <c r="D30" t="s">
        <v>10</v>
      </c>
      <c r="E30">
        <v>3.85</v>
      </c>
      <c r="F30" t="s">
        <v>213</v>
      </c>
      <c r="G30" s="3">
        <f>E30*1000000</f>
        <v>3850000</v>
      </c>
      <c r="H30" s="3" t="s">
        <v>9</v>
      </c>
    </row>
    <row r="31" spans="1:8" x14ac:dyDescent="0.35">
      <c r="A31" t="s">
        <v>210</v>
      </c>
      <c r="B31" t="s">
        <v>225</v>
      </c>
      <c r="C31" t="s">
        <v>12</v>
      </c>
      <c r="D31" t="s">
        <v>6</v>
      </c>
      <c r="E31">
        <v>0.14000000000000001</v>
      </c>
      <c r="F31" t="s">
        <v>213</v>
      </c>
      <c r="G31" s="3">
        <f>E31*1000000</f>
        <v>140000</v>
      </c>
      <c r="H31" s="3" t="s">
        <v>9</v>
      </c>
    </row>
    <row r="32" spans="1:8" x14ac:dyDescent="0.35">
      <c r="A32" t="s">
        <v>210</v>
      </c>
      <c r="B32" t="s">
        <v>225</v>
      </c>
      <c r="C32" t="s">
        <v>12</v>
      </c>
      <c r="D32" t="s">
        <v>10</v>
      </c>
      <c r="E32">
        <v>0.18</v>
      </c>
      <c r="F32" t="s">
        <v>213</v>
      </c>
      <c r="G32" s="3">
        <f>E32*1000000</f>
        <v>180000</v>
      </c>
      <c r="H32" s="3" t="s">
        <v>9</v>
      </c>
    </row>
    <row r="33" spans="1:8" x14ac:dyDescent="0.35">
      <c r="A33" t="s">
        <v>104</v>
      </c>
      <c r="B33" t="s">
        <v>105</v>
      </c>
      <c r="C33" t="s">
        <v>12</v>
      </c>
      <c r="D33" t="s">
        <v>106</v>
      </c>
      <c r="E33">
        <v>530762</v>
      </c>
      <c r="F33" t="s">
        <v>9</v>
      </c>
      <c r="G33">
        <f t="shared" ref="G33:H36" si="2">E33</f>
        <v>530762</v>
      </c>
      <c r="H33" t="str">
        <f t="shared" si="2"/>
        <v>GJ</v>
      </c>
    </row>
    <row r="34" spans="1:8" x14ac:dyDescent="0.35">
      <c r="A34" t="s">
        <v>104</v>
      </c>
      <c r="B34" t="s">
        <v>105</v>
      </c>
      <c r="C34" t="s">
        <v>12</v>
      </c>
      <c r="D34" t="s">
        <v>107</v>
      </c>
      <c r="E34">
        <v>4644</v>
      </c>
      <c r="F34" t="s">
        <v>9</v>
      </c>
      <c r="G34">
        <f t="shared" si="2"/>
        <v>4644</v>
      </c>
      <c r="H34" t="str">
        <f t="shared" si="2"/>
        <v>GJ</v>
      </c>
    </row>
    <row r="35" spans="1:8" x14ac:dyDescent="0.35">
      <c r="A35" t="s">
        <v>104</v>
      </c>
      <c r="B35" t="s">
        <v>105</v>
      </c>
      <c r="C35" t="s">
        <v>12</v>
      </c>
      <c r="D35" t="s">
        <v>108</v>
      </c>
      <c r="E35">
        <v>637</v>
      </c>
      <c r="F35" t="s">
        <v>9</v>
      </c>
      <c r="G35">
        <f t="shared" si="2"/>
        <v>637</v>
      </c>
      <c r="H35" t="str">
        <f t="shared" si="2"/>
        <v>GJ</v>
      </c>
    </row>
    <row r="36" spans="1:8" x14ac:dyDescent="0.35">
      <c r="A36" t="s">
        <v>104</v>
      </c>
      <c r="B36" t="s">
        <v>105</v>
      </c>
      <c r="C36" t="s">
        <v>12</v>
      </c>
      <c r="D36" t="s">
        <v>53</v>
      </c>
      <c r="E36">
        <v>863526</v>
      </c>
      <c r="F36" t="s">
        <v>9</v>
      </c>
      <c r="G36">
        <f t="shared" si="2"/>
        <v>863526</v>
      </c>
      <c r="H36" t="str">
        <f t="shared" si="2"/>
        <v>GJ</v>
      </c>
    </row>
    <row r="37" spans="1:8" x14ac:dyDescent="0.35">
      <c r="A37" t="s">
        <v>210</v>
      </c>
      <c r="B37" t="s">
        <v>226</v>
      </c>
      <c r="C37" t="s">
        <v>12</v>
      </c>
      <c r="D37" t="s">
        <v>6</v>
      </c>
      <c r="E37">
        <v>0.26</v>
      </c>
      <c r="F37" t="s">
        <v>213</v>
      </c>
      <c r="G37" s="3">
        <f>E37*1000000</f>
        <v>260000</v>
      </c>
      <c r="H37" s="3" t="s">
        <v>9</v>
      </c>
    </row>
    <row r="38" spans="1:8" x14ac:dyDescent="0.35">
      <c r="A38" t="s">
        <v>210</v>
      </c>
      <c r="B38" t="s">
        <v>226</v>
      </c>
      <c r="C38" t="s">
        <v>12</v>
      </c>
      <c r="D38" t="s">
        <v>10</v>
      </c>
      <c r="E38">
        <v>1.49</v>
      </c>
      <c r="F38" t="s">
        <v>213</v>
      </c>
      <c r="G38" s="3">
        <f>E38*1000000</f>
        <v>1490000</v>
      </c>
      <c r="H38" s="3" t="s">
        <v>9</v>
      </c>
    </row>
    <row r="39" spans="1:8" x14ac:dyDescent="0.35">
      <c r="A39" t="s">
        <v>210</v>
      </c>
      <c r="B39" t="s">
        <v>226</v>
      </c>
      <c r="C39" t="s">
        <v>12</v>
      </c>
      <c r="D39" t="s">
        <v>333</v>
      </c>
      <c r="E39">
        <v>1.1200000000000001</v>
      </c>
      <c r="F39" t="s">
        <v>213</v>
      </c>
      <c r="G39" s="3">
        <f>E39*1000000</f>
        <v>1120000</v>
      </c>
      <c r="H39" s="3" t="s">
        <v>9</v>
      </c>
    </row>
    <row r="40" spans="1:8" x14ac:dyDescent="0.35">
      <c r="A40" t="s">
        <v>303</v>
      </c>
      <c r="B40" t="s">
        <v>304</v>
      </c>
      <c r="C40" t="s">
        <v>12</v>
      </c>
      <c r="D40" t="s">
        <v>305</v>
      </c>
      <c r="E40">
        <v>1695665</v>
      </c>
      <c r="F40" t="s">
        <v>9</v>
      </c>
      <c r="G40">
        <f>E40</f>
        <v>1695665</v>
      </c>
      <c r="H40" t="s">
        <v>9</v>
      </c>
    </row>
    <row r="41" spans="1:8" x14ac:dyDescent="0.35">
      <c r="A41" t="s">
        <v>303</v>
      </c>
      <c r="B41" t="s">
        <v>304</v>
      </c>
      <c r="C41" t="s">
        <v>12</v>
      </c>
      <c r="D41" t="s">
        <v>306</v>
      </c>
      <c r="E41">
        <v>186977</v>
      </c>
      <c r="F41" t="s">
        <v>9</v>
      </c>
      <c r="G41">
        <f>E41</f>
        <v>186977</v>
      </c>
      <c r="H41" t="s">
        <v>9</v>
      </c>
    </row>
    <row r="42" spans="1:8" x14ac:dyDescent="0.35">
      <c r="A42" t="s">
        <v>303</v>
      </c>
      <c r="B42" t="s">
        <v>304</v>
      </c>
      <c r="C42" t="s">
        <v>12</v>
      </c>
      <c r="D42" t="s">
        <v>307</v>
      </c>
      <c r="E42">
        <v>38791</v>
      </c>
      <c r="F42" t="s">
        <v>9</v>
      </c>
      <c r="G42">
        <f>E42</f>
        <v>38791</v>
      </c>
      <c r="H42" t="s">
        <v>9</v>
      </c>
    </row>
    <row r="43" spans="1:8" x14ac:dyDescent="0.35">
      <c r="A43" t="s">
        <v>303</v>
      </c>
      <c r="B43" t="s">
        <v>304</v>
      </c>
      <c r="C43" t="s">
        <v>12</v>
      </c>
      <c r="D43" t="s">
        <v>308</v>
      </c>
      <c r="E43">
        <v>453</v>
      </c>
      <c r="F43" t="s">
        <v>9</v>
      </c>
      <c r="G43">
        <f>E43</f>
        <v>453</v>
      </c>
      <c r="H43" t="s">
        <v>9</v>
      </c>
    </row>
    <row r="44" spans="1:8" x14ac:dyDescent="0.35">
      <c r="A44" t="s">
        <v>303</v>
      </c>
      <c r="B44" t="s">
        <v>304</v>
      </c>
      <c r="C44" t="s">
        <v>12</v>
      </c>
      <c r="D44" t="s">
        <v>309</v>
      </c>
      <c r="E44" s="2">
        <v>1683653</v>
      </c>
      <c r="F44" t="s">
        <v>9</v>
      </c>
      <c r="G44">
        <f>E44</f>
        <v>1683653</v>
      </c>
      <c r="H44" t="s">
        <v>9</v>
      </c>
    </row>
    <row r="45" spans="1:8" x14ac:dyDescent="0.35">
      <c r="A45" t="s">
        <v>264</v>
      </c>
      <c r="B45" t="s">
        <v>265</v>
      </c>
      <c r="C45" t="s">
        <v>12</v>
      </c>
      <c r="D45" t="s">
        <v>6</v>
      </c>
      <c r="E45">
        <v>8851</v>
      </c>
      <c r="F45" t="s">
        <v>267</v>
      </c>
      <c r="G45" s="3">
        <f>(E45*1000)*(Parameters!D5/1000)</f>
        <v>341648.60000000003</v>
      </c>
      <c r="H45" s="3" t="s">
        <v>9</v>
      </c>
    </row>
    <row r="46" spans="1:8" x14ac:dyDescent="0.35">
      <c r="A46" t="s">
        <v>264</v>
      </c>
      <c r="B46" t="s">
        <v>265</v>
      </c>
      <c r="C46" t="s">
        <v>12</v>
      </c>
      <c r="D46" t="s">
        <v>268</v>
      </c>
      <c r="E46">
        <v>157574580</v>
      </c>
      <c r="F46" t="s">
        <v>270</v>
      </c>
      <c r="G46" s="3">
        <f>E46*Parameters!D2</f>
        <v>567268.48800000001</v>
      </c>
      <c r="H46" s="3" t="s">
        <v>9</v>
      </c>
    </row>
    <row r="47" spans="1:8" x14ac:dyDescent="0.35">
      <c r="A47" t="s">
        <v>120</v>
      </c>
      <c r="B47" t="s">
        <v>137</v>
      </c>
      <c r="C47" t="s">
        <v>12</v>
      </c>
      <c r="D47" t="s">
        <v>138</v>
      </c>
      <c r="E47">
        <v>17725.400000000001</v>
      </c>
      <c r="F47" t="s">
        <v>128</v>
      </c>
      <c r="G47" s="3">
        <f t="shared" ref="G47:G52" si="3">E47*1000</f>
        <v>17725400</v>
      </c>
      <c r="H47" s="3" t="s">
        <v>9</v>
      </c>
    </row>
    <row r="48" spans="1:8" x14ac:dyDescent="0.35">
      <c r="A48" t="s">
        <v>120</v>
      </c>
      <c r="B48" t="s">
        <v>137</v>
      </c>
      <c r="C48" t="s">
        <v>12</v>
      </c>
      <c r="D48" t="s">
        <v>123</v>
      </c>
      <c r="E48">
        <v>8020.9</v>
      </c>
      <c r="F48" t="s">
        <v>128</v>
      </c>
      <c r="G48" s="3">
        <f t="shared" si="3"/>
        <v>8020900</v>
      </c>
      <c r="H48" s="3" t="s">
        <v>9</v>
      </c>
    </row>
    <row r="49" spans="1:8" x14ac:dyDescent="0.35">
      <c r="A49" t="s">
        <v>120</v>
      </c>
      <c r="B49" t="s">
        <v>137</v>
      </c>
      <c r="C49" t="s">
        <v>12</v>
      </c>
      <c r="D49" t="s">
        <v>139</v>
      </c>
      <c r="E49">
        <v>4107</v>
      </c>
      <c r="F49" t="s">
        <v>128</v>
      </c>
      <c r="G49" s="3">
        <f t="shared" si="3"/>
        <v>4107000</v>
      </c>
      <c r="H49" s="3" t="s">
        <v>9</v>
      </c>
    </row>
    <row r="50" spans="1:8" x14ac:dyDescent="0.35">
      <c r="A50" t="s">
        <v>120</v>
      </c>
      <c r="B50" t="s">
        <v>137</v>
      </c>
      <c r="C50" t="s">
        <v>12</v>
      </c>
      <c r="D50" t="s">
        <v>124</v>
      </c>
      <c r="E50">
        <v>36.9</v>
      </c>
      <c r="F50" t="s">
        <v>128</v>
      </c>
      <c r="G50" s="3">
        <f t="shared" si="3"/>
        <v>36900</v>
      </c>
      <c r="H50" s="3" t="s">
        <v>9</v>
      </c>
    </row>
    <row r="51" spans="1:8" x14ac:dyDescent="0.35">
      <c r="A51" t="s">
        <v>120</v>
      </c>
      <c r="B51" t="s">
        <v>137</v>
      </c>
      <c r="C51" t="s">
        <v>12</v>
      </c>
      <c r="D51" t="s">
        <v>140</v>
      </c>
      <c r="E51">
        <v>239.7</v>
      </c>
      <c r="F51" t="s">
        <v>128</v>
      </c>
      <c r="G51" s="3">
        <f t="shared" si="3"/>
        <v>239700</v>
      </c>
      <c r="H51" s="3" t="s">
        <v>9</v>
      </c>
    </row>
    <row r="52" spans="1:8" x14ac:dyDescent="0.35">
      <c r="A52" t="s">
        <v>120</v>
      </c>
      <c r="B52" t="s">
        <v>137</v>
      </c>
      <c r="C52" t="s">
        <v>12</v>
      </c>
      <c r="D52" t="s">
        <v>141</v>
      </c>
      <c r="E52">
        <v>109.3</v>
      </c>
      <c r="F52" t="s">
        <v>128</v>
      </c>
      <c r="G52" s="3">
        <f t="shared" si="3"/>
        <v>109300</v>
      </c>
      <c r="H52" s="3" t="s">
        <v>9</v>
      </c>
    </row>
    <row r="53" spans="1:8" x14ac:dyDescent="0.35">
      <c r="A53" t="s">
        <v>4</v>
      </c>
      <c r="B53" t="s">
        <v>23</v>
      </c>
      <c r="C53" t="s">
        <v>12</v>
      </c>
      <c r="D53" t="s">
        <v>6</v>
      </c>
      <c r="E53">
        <v>22534</v>
      </c>
      <c r="F53" t="s">
        <v>9</v>
      </c>
      <c r="G53">
        <f>E53</f>
        <v>22534</v>
      </c>
      <c r="H53" t="str">
        <f>F53</f>
        <v>GJ</v>
      </c>
    </row>
    <row r="54" spans="1:8" x14ac:dyDescent="0.35">
      <c r="A54" t="s">
        <v>4</v>
      </c>
      <c r="B54" t="s">
        <v>23</v>
      </c>
      <c r="C54" t="s">
        <v>12</v>
      </c>
      <c r="D54" t="s">
        <v>25</v>
      </c>
      <c r="E54">
        <v>194788</v>
      </c>
      <c r="F54" t="s">
        <v>9</v>
      </c>
      <c r="G54">
        <f>E54</f>
        <v>194788</v>
      </c>
      <c r="H54" t="str">
        <f>F54</f>
        <v>GJ</v>
      </c>
    </row>
    <row r="55" spans="1:8" x14ac:dyDescent="0.35">
      <c r="A55" t="s">
        <v>91</v>
      </c>
      <c r="B55" t="s">
        <v>92</v>
      </c>
      <c r="C55" t="s">
        <v>12</v>
      </c>
      <c r="D55" t="s">
        <v>93</v>
      </c>
      <c r="E55">
        <v>197750000</v>
      </c>
      <c r="F55" t="s">
        <v>95</v>
      </c>
      <c r="G55" s="3">
        <f>E55*Parameters!D2</f>
        <v>711900</v>
      </c>
      <c r="H55" s="3" t="s">
        <v>9</v>
      </c>
    </row>
    <row r="56" spans="1:8" x14ac:dyDescent="0.35">
      <c r="A56" t="s">
        <v>232</v>
      </c>
      <c r="B56" t="s">
        <v>254</v>
      </c>
      <c r="C56" t="s">
        <v>12</v>
      </c>
      <c r="D56" t="s">
        <v>234</v>
      </c>
      <c r="E56">
        <v>7184943</v>
      </c>
      <c r="F56" t="s">
        <v>9</v>
      </c>
      <c r="G56" s="4">
        <f t="shared" ref="G56:H58" si="4">E56</f>
        <v>7184943</v>
      </c>
      <c r="H56" t="str">
        <f t="shared" si="4"/>
        <v>GJ</v>
      </c>
    </row>
    <row r="57" spans="1:8" x14ac:dyDescent="0.35">
      <c r="A57" t="s">
        <v>232</v>
      </c>
      <c r="B57" t="s">
        <v>254</v>
      </c>
      <c r="C57" t="s">
        <v>12</v>
      </c>
      <c r="D57" t="s">
        <v>255</v>
      </c>
      <c r="E57">
        <v>4719188</v>
      </c>
      <c r="F57" t="s">
        <v>9</v>
      </c>
      <c r="G57" s="4">
        <f t="shared" si="4"/>
        <v>4719188</v>
      </c>
      <c r="H57" t="str">
        <f t="shared" si="4"/>
        <v>GJ</v>
      </c>
    </row>
    <row r="58" spans="1:8" x14ac:dyDescent="0.35">
      <c r="A58" t="s">
        <v>4</v>
      </c>
      <c r="B58" t="s">
        <v>37</v>
      </c>
      <c r="C58" t="s">
        <v>12</v>
      </c>
      <c r="D58" t="s">
        <v>6</v>
      </c>
      <c r="E58">
        <v>131511</v>
      </c>
      <c r="F58" t="s">
        <v>9</v>
      </c>
      <c r="G58">
        <f t="shared" si="4"/>
        <v>131511</v>
      </c>
      <c r="H58" t="str">
        <f t="shared" si="4"/>
        <v>GJ</v>
      </c>
    </row>
    <row r="59" spans="1:8" x14ac:dyDescent="0.35">
      <c r="A59" t="s">
        <v>41</v>
      </c>
      <c r="B59" t="s">
        <v>42</v>
      </c>
      <c r="C59" t="s">
        <v>12</v>
      </c>
      <c r="D59" t="s">
        <v>43</v>
      </c>
      <c r="E59">
        <v>25584</v>
      </c>
      <c r="F59" t="s">
        <v>329</v>
      </c>
      <c r="G59" s="3">
        <f>((E59/Parameters!D6)*1000)*(45.6/1000)</f>
        <v>1023360.0000000001</v>
      </c>
      <c r="H59" s="3" t="s">
        <v>9</v>
      </c>
    </row>
    <row r="60" spans="1:8" x14ac:dyDescent="0.35">
      <c r="A60" t="s">
        <v>41</v>
      </c>
      <c r="B60" t="s">
        <v>42</v>
      </c>
      <c r="C60" t="s">
        <v>12</v>
      </c>
      <c r="D60" t="s">
        <v>44</v>
      </c>
      <c r="E60">
        <v>367828225</v>
      </c>
      <c r="F60" t="s">
        <v>46</v>
      </c>
      <c r="G60" s="3">
        <f>E60*Parameters!D2</f>
        <v>1324181.6099999999</v>
      </c>
      <c r="H60" s="3" t="s">
        <v>9</v>
      </c>
    </row>
    <row r="61" spans="1:8" x14ac:dyDescent="0.35">
      <c r="A61" t="s">
        <v>232</v>
      </c>
      <c r="B61" t="s">
        <v>242</v>
      </c>
      <c r="C61" t="s">
        <v>12</v>
      </c>
      <c r="D61" t="s">
        <v>234</v>
      </c>
      <c r="E61">
        <v>234996</v>
      </c>
      <c r="F61" t="s">
        <v>9</v>
      </c>
      <c r="G61" s="4">
        <f>E61</f>
        <v>234996</v>
      </c>
      <c r="H61" t="str">
        <f>F61</f>
        <v>GJ</v>
      </c>
    </row>
    <row r="62" spans="1:8" x14ac:dyDescent="0.35">
      <c r="A62" t="s">
        <v>232</v>
      </c>
      <c r="B62" t="s">
        <v>242</v>
      </c>
      <c r="C62" t="s">
        <v>12</v>
      </c>
      <c r="D62" t="s">
        <v>235</v>
      </c>
      <c r="E62">
        <v>543921</v>
      </c>
      <c r="F62" t="s">
        <v>9</v>
      </c>
      <c r="G62" s="4">
        <f>E62</f>
        <v>543921</v>
      </c>
      <c r="H62" t="str">
        <f>F62</f>
        <v>GJ</v>
      </c>
    </row>
    <row r="63" spans="1:8" x14ac:dyDescent="0.35">
      <c r="A63" t="s">
        <v>294</v>
      </c>
      <c r="B63" t="s">
        <v>294</v>
      </c>
      <c r="C63" t="s">
        <v>12</v>
      </c>
      <c r="D63" t="s">
        <v>295</v>
      </c>
      <c r="E63">
        <v>109060.79</v>
      </c>
      <c r="F63" t="s">
        <v>298</v>
      </c>
      <c r="G63" s="3">
        <f>(E63*1000/Parameters!D6)*(Parameters!D7/1000)</f>
        <v>4362431.6000000006</v>
      </c>
      <c r="H63" s="3" t="s">
        <v>9</v>
      </c>
    </row>
    <row r="64" spans="1:8" x14ac:dyDescent="0.35">
      <c r="A64" t="s">
        <v>294</v>
      </c>
      <c r="B64" t="s">
        <v>294</v>
      </c>
      <c r="C64" t="s">
        <v>12</v>
      </c>
      <c r="D64" t="s">
        <v>296</v>
      </c>
      <c r="E64">
        <v>1163067646</v>
      </c>
      <c r="F64" t="s">
        <v>300</v>
      </c>
      <c r="G64" s="3">
        <f>E64*Parameters!D2</f>
        <v>4187043.5255999998</v>
      </c>
      <c r="H64" s="3" t="s">
        <v>9</v>
      </c>
    </row>
    <row r="65" spans="1:8" x14ac:dyDescent="0.35">
      <c r="A65" t="s">
        <v>4</v>
      </c>
      <c r="B65" t="s">
        <v>5</v>
      </c>
      <c r="C65" t="s">
        <v>12</v>
      </c>
      <c r="D65" t="s">
        <v>6</v>
      </c>
      <c r="E65">
        <v>338743</v>
      </c>
      <c r="F65" t="s">
        <v>9</v>
      </c>
      <c r="G65">
        <f t="shared" ref="G65:H69" si="5">E65</f>
        <v>338743</v>
      </c>
      <c r="H65" t="str">
        <f t="shared" si="5"/>
        <v>GJ</v>
      </c>
    </row>
    <row r="66" spans="1:8" x14ac:dyDescent="0.35">
      <c r="A66" t="s">
        <v>4</v>
      </c>
      <c r="B66" t="s">
        <v>5</v>
      </c>
      <c r="C66" t="s">
        <v>12</v>
      </c>
      <c r="D66" t="s">
        <v>10</v>
      </c>
      <c r="E66">
        <v>302270</v>
      </c>
      <c r="F66" t="s">
        <v>9</v>
      </c>
      <c r="G66">
        <f t="shared" si="5"/>
        <v>302270</v>
      </c>
      <c r="H66" t="str">
        <f t="shared" si="5"/>
        <v>GJ</v>
      </c>
    </row>
    <row r="67" spans="1:8" x14ac:dyDescent="0.35">
      <c r="A67" t="s">
        <v>104</v>
      </c>
      <c r="B67" t="s">
        <v>115</v>
      </c>
      <c r="C67" t="s">
        <v>12</v>
      </c>
      <c r="D67" t="s">
        <v>106</v>
      </c>
      <c r="E67">
        <v>186770</v>
      </c>
      <c r="F67" t="s">
        <v>9</v>
      </c>
      <c r="G67">
        <f t="shared" si="5"/>
        <v>186770</v>
      </c>
      <c r="H67" t="str">
        <f t="shared" si="5"/>
        <v>GJ</v>
      </c>
    </row>
    <row r="68" spans="1:8" x14ac:dyDescent="0.35">
      <c r="A68" t="s">
        <v>104</v>
      </c>
      <c r="B68" t="s">
        <v>115</v>
      </c>
      <c r="C68" t="s">
        <v>12</v>
      </c>
      <c r="D68" t="s">
        <v>107</v>
      </c>
      <c r="E68">
        <v>1403</v>
      </c>
      <c r="F68" t="s">
        <v>9</v>
      </c>
      <c r="G68">
        <f t="shared" si="5"/>
        <v>1403</v>
      </c>
      <c r="H68" t="str">
        <f t="shared" si="5"/>
        <v>GJ</v>
      </c>
    </row>
    <row r="69" spans="1:8" x14ac:dyDescent="0.35">
      <c r="A69" t="s">
        <v>104</v>
      </c>
      <c r="B69" t="s">
        <v>115</v>
      </c>
      <c r="C69" t="s">
        <v>12</v>
      </c>
      <c r="D69" t="s">
        <v>53</v>
      </c>
      <c r="E69">
        <v>1681</v>
      </c>
      <c r="F69" t="s">
        <v>9</v>
      </c>
      <c r="G69">
        <f t="shared" si="5"/>
        <v>1681</v>
      </c>
      <c r="H69" t="str">
        <f t="shared" si="5"/>
        <v>GJ</v>
      </c>
    </row>
    <row r="70" spans="1:8" x14ac:dyDescent="0.35">
      <c r="A70" t="s">
        <v>120</v>
      </c>
      <c r="B70" t="s">
        <v>121</v>
      </c>
      <c r="C70" t="s">
        <v>318</v>
      </c>
      <c r="D70" t="s">
        <v>122</v>
      </c>
      <c r="E70">
        <v>2044</v>
      </c>
      <c r="F70" t="s">
        <v>128</v>
      </c>
      <c r="G70" s="3">
        <f t="shared" ref="G70:G82" si="6">E70*1000</f>
        <v>2044000</v>
      </c>
      <c r="H70" s="3" t="s">
        <v>9</v>
      </c>
    </row>
    <row r="71" spans="1:8" x14ac:dyDescent="0.35">
      <c r="A71" t="s">
        <v>120</v>
      </c>
      <c r="B71" t="s">
        <v>121</v>
      </c>
      <c r="C71" t="s">
        <v>318</v>
      </c>
      <c r="D71" t="s">
        <v>123</v>
      </c>
      <c r="E71">
        <v>2187.6999999999998</v>
      </c>
      <c r="F71" t="s">
        <v>128</v>
      </c>
      <c r="G71" s="3">
        <f t="shared" si="6"/>
        <v>2187700</v>
      </c>
      <c r="H71" s="3" t="s">
        <v>9</v>
      </c>
    </row>
    <row r="72" spans="1:8" x14ac:dyDescent="0.35">
      <c r="A72" t="s">
        <v>120</v>
      </c>
      <c r="B72" t="s">
        <v>121</v>
      </c>
      <c r="C72" t="s">
        <v>318</v>
      </c>
      <c r="D72" t="s">
        <v>124</v>
      </c>
      <c r="E72">
        <v>33.6</v>
      </c>
      <c r="F72" t="s">
        <v>128</v>
      </c>
      <c r="G72" s="3">
        <f t="shared" si="6"/>
        <v>33600</v>
      </c>
      <c r="H72" s="3" t="s">
        <v>9</v>
      </c>
    </row>
    <row r="73" spans="1:8" x14ac:dyDescent="0.35">
      <c r="A73" t="s">
        <v>120</v>
      </c>
      <c r="B73" t="s">
        <v>121</v>
      </c>
      <c r="C73" t="s">
        <v>318</v>
      </c>
      <c r="D73" t="s">
        <v>125</v>
      </c>
      <c r="E73">
        <v>71.8</v>
      </c>
      <c r="F73" t="s">
        <v>128</v>
      </c>
      <c r="G73" s="3">
        <f t="shared" si="6"/>
        <v>71800</v>
      </c>
      <c r="H73" s="3" t="s">
        <v>9</v>
      </c>
    </row>
    <row r="74" spans="1:8" x14ac:dyDescent="0.35">
      <c r="A74" t="s">
        <v>120</v>
      </c>
      <c r="B74" t="s">
        <v>121</v>
      </c>
      <c r="C74" t="s">
        <v>318</v>
      </c>
      <c r="D74" t="s">
        <v>126</v>
      </c>
      <c r="E74">
        <v>0.8</v>
      </c>
      <c r="F74" t="s">
        <v>128</v>
      </c>
      <c r="G74" s="3">
        <f t="shared" si="6"/>
        <v>800</v>
      </c>
      <c r="H74" s="3" t="s">
        <v>9</v>
      </c>
    </row>
    <row r="75" spans="1:8" x14ac:dyDescent="0.35">
      <c r="A75" t="s">
        <v>120</v>
      </c>
      <c r="B75" t="s">
        <v>178</v>
      </c>
      <c r="C75" t="s">
        <v>318</v>
      </c>
      <c r="D75" t="s">
        <v>122</v>
      </c>
      <c r="E75">
        <v>13390</v>
      </c>
      <c r="F75" t="s">
        <v>128</v>
      </c>
      <c r="G75" s="3">
        <f t="shared" si="6"/>
        <v>13390000</v>
      </c>
      <c r="H75" s="3" t="s">
        <v>9</v>
      </c>
    </row>
    <row r="76" spans="1:8" x14ac:dyDescent="0.35">
      <c r="A76" t="s">
        <v>120</v>
      </c>
      <c r="B76" t="s">
        <v>178</v>
      </c>
      <c r="C76" t="s">
        <v>318</v>
      </c>
      <c r="D76" t="s">
        <v>170</v>
      </c>
      <c r="E76">
        <v>9146.7000000000007</v>
      </c>
      <c r="F76" t="s">
        <v>128</v>
      </c>
      <c r="G76" s="3">
        <f t="shared" si="6"/>
        <v>9146700</v>
      </c>
      <c r="H76" s="3" t="s">
        <v>9</v>
      </c>
    </row>
    <row r="77" spans="1:8" x14ac:dyDescent="0.35">
      <c r="A77" t="s">
        <v>120</v>
      </c>
      <c r="B77" t="s">
        <v>178</v>
      </c>
      <c r="C77" t="s">
        <v>318</v>
      </c>
      <c r="D77" t="s">
        <v>124</v>
      </c>
      <c r="E77">
        <v>21.1</v>
      </c>
      <c r="F77" t="s">
        <v>128</v>
      </c>
      <c r="G77" s="3">
        <f t="shared" si="6"/>
        <v>21100</v>
      </c>
      <c r="H77" s="3" t="s">
        <v>9</v>
      </c>
    </row>
    <row r="78" spans="1:8" x14ac:dyDescent="0.35">
      <c r="A78" t="s">
        <v>120</v>
      </c>
      <c r="B78" t="s">
        <v>186</v>
      </c>
      <c r="C78" t="s">
        <v>318</v>
      </c>
      <c r="D78" t="s">
        <v>122</v>
      </c>
      <c r="E78">
        <v>1172</v>
      </c>
      <c r="F78" t="s">
        <v>128</v>
      </c>
      <c r="G78" s="3">
        <f t="shared" si="6"/>
        <v>1172000</v>
      </c>
      <c r="H78" s="3" t="s">
        <v>9</v>
      </c>
    </row>
    <row r="79" spans="1:8" x14ac:dyDescent="0.35">
      <c r="A79" t="s">
        <v>120</v>
      </c>
      <c r="B79" t="s">
        <v>186</v>
      </c>
      <c r="C79" t="s">
        <v>318</v>
      </c>
      <c r="D79" t="s">
        <v>123</v>
      </c>
      <c r="E79">
        <v>1042.9000000000001</v>
      </c>
      <c r="F79" t="s">
        <v>128</v>
      </c>
      <c r="G79" s="3">
        <f t="shared" si="6"/>
        <v>1042900.0000000001</v>
      </c>
      <c r="H79" s="3" t="s">
        <v>9</v>
      </c>
    </row>
    <row r="80" spans="1:8" x14ac:dyDescent="0.35">
      <c r="A80" t="s">
        <v>120</v>
      </c>
      <c r="B80" t="s">
        <v>186</v>
      </c>
      <c r="C80" t="s">
        <v>318</v>
      </c>
      <c r="D80" t="s">
        <v>124</v>
      </c>
      <c r="E80">
        <v>30.7</v>
      </c>
      <c r="F80" t="s">
        <v>128</v>
      </c>
      <c r="G80" s="3">
        <f t="shared" si="6"/>
        <v>30700</v>
      </c>
      <c r="H80" s="3" t="s">
        <v>9</v>
      </c>
    </row>
    <row r="81" spans="1:8" x14ac:dyDescent="0.35">
      <c r="A81" t="s">
        <v>120</v>
      </c>
      <c r="B81" t="s">
        <v>186</v>
      </c>
      <c r="C81" t="s">
        <v>318</v>
      </c>
      <c r="D81" t="s">
        <v>125</v>
      </c>
      <c r="E81">
        <v>873.3</v>
      </c>
      <c r="F81" t="s">
        <v>128</v>
      </c>
      <c r="G81" s="3">
        <f t="shared" si="6"/>
        <v>873300</v>
      </c>
      <c r="H81" s="3" t="s">
        <v>9</v>
      </c>
    </row>
    <row r="82" spans="1:8" x14ac:dyDescent="0.35">
      <c r="A82" t="s">
        <v>120</v>
      </c>
      <c r="B82" t="s">
        <v>186</v>
      </c>
      <c r="C82" t="s">
        <v>318</v>
      </c>
      <c r="D82" t="s">
        <v>126</v>
      </c>
      <c r="E82">
        <v>3.6</v>
      </c>
      <c r="F82" t="s">
        <v>128</v>
      </c>
      <c r="G82" s="3">
        <f t="shared" si="6"/>
        <v>3600</v>
      </c>
      <c r="H82" s="3" t="s">
        <v>9</v>
      </c>
    </row>
    <row r="83" spans="1:8" x14ac:dyDescent="0.35">
      <c r="A83" t="s">
        <v>50</v>
      </c>
      <c r="B83" t="s">
        <v>72</v>
      </c>
      <c r="C83" t="s">
        <v>319</v>
      </c>
      <c r="D83" t="s">
        <v>52</v>
      </c>
      <c r="E83">
        <v>167855</v>
      </c>
      <c r="F83" t="s">
        <v>9</v>
      </c>
      <c r="G83">
        <f t="shared" ref="G83:H88" si="7">E83</f>
        <v>167855</v>
      </c>
      <c r="H83" t="str">
        <f t="shared" si="7"/>
        <v>GJ</v>
      </c>
    </row>
    <row r="84" spans="1:8" x14ac:dyDescent="0.35">
      <c r="A84" t="s">
        <v>50</v>
      </c>
      <c r="B84" t="s">
        <v>72</v>
      </c>
      <c r="C84" t="s">
        <v>319</v>
      </c>
      <c r="D84" t="s">
        <v>53</v>
      </c>
      <c r="E84">
        <v>228707</v>
      </c>
      <c r="F84" t="s">
        <v>9</v>
      </c>
      <c r="G84">
        <f t="shared" si="7"/>
        <v>228707</v>
      </c>
      <c r="H84" t="str">
        <f t="shared" si="7"/>
        <v>GJ</v>
      </c>
    </row>
    <row r="85" spans="1:8" x14ac:dyDescent="0.35">
      <c r="A85" t="s">
        <v>50</v>
      </c>
      <c r="B85" t="s">
        <v>62</v>
      </c>
      <c r="C85" t="s">
        <v>318</v>
      </c>
      <c r="D85" t="s">
        <v>52</v>
      </c>
      <c r="E85">
        <v>1859277</v>
      </c>
      <c r="F85" t="s">
        <v>9</v>
      </c>
      <c r="G85">
        <f t="shared" si="7"/>
        <v>1859277</v>
      </c>
      <c r="H85" t="str">
        <f t="shared" si="7"/>
        <v>GJ</v>
      </c>
    </row>
    <row r="86" spans="1:8" x14ac:dyDescent="0.35">
      <c r="A86" t="s">
        <v>50</v>
      </c>
      <c r="B86" t="s">
        <v>62</v>
      </c>
      <c r="C86" t="s">
        <v>318</v>
      </c>
      <c r="D86" t="s">
        <v>53</v>
      </c>
      <c r="E86">
        <v>863004</v>
      </c>
      <c r="F86" t="s">
        <v>9</v>
      </c>
      <c r="G86">
        <f t="shared" si="7"/>
        <v>863004</v>
      </c>
      <c r="H86" t="str">
        <f t="shared" si="7"/>
        <v>GJ</v>
      </c>
    </row>
    <row r="87" spans="1:8" x14ac:dyDescent="0.35">
      <c r="A87" t="s">
        <v>50</v>
      </c>
      <c r="B87" t="s">
        <v>70</v>
      </c>
      <c r="C87" t="s">
        <v>319</v>
      </c>
      <c r="D87" t="s">
        <v>52</v>
      </c>
      <c r="E87">
        <v>2101672</v>
      </c>
      <c r="F87" t="s">
        <v>9</v>
      </c>
      <c r="G87">
        <f t="shared" si="7"/>
        <v>2101672</v>
      </c>
      <c r="H87" t="str">
        <f t="shared" si="7"/>
        <v>GJ</v>
      </c>
    </row>
    <row r="88" spans="1:8" x14ac:dyDescent="0.35">
      <c r="A88" t="s">
        <v>50</v>
      </c>
      <c r="B88" t="s">
        <v>70</v>
      </c>
      <c r="C88" t="s">
        <v>319</v>
      </c>
      <c r="D88" t="s">
        <v>53</v>
      </c>
      <c r="E88">
        <v>691918</v>
      </c>
      <c r="F88" t="s">
        <v>9</v>
      </c>
      <c r="G88">
        <f t="shared" si="7"/>
        <v>691918</v>
      </c>
      <c r="H88" t="str">
        <f t="shared" si="7"/>
        <v>GJ</v>
      </c>
    </row>
    <row r="89" spans="1:8" x14ac:dyDescent="0.35">
      <c r="A89" t="s">
        <v>120</v>
      </c>
      <c r="B89" t="s">
        <v>152</v>
      </c>
      <c r="C89" t="s">
        <v>318</v>
      </c>
      <c r="D89" t="s">
        <v>122</v>
      </c>
      <c r="E89">
        <v>8492</v>
      </c>
      <c r="F89" t="s">
        <v>128</v>
      </c>
      <c r="G89" s="3">
        <f>E89*1000</f>
        <v>8492000</v>
      </c>
      <c r="H89" s="3" t="s">
        <v>9</v>
      </c>
    </row>
    <row r="90" spans="1:8" x14ac:dyDescent="0.35">
      <c r="A90" t="s">
        <v>120</v>
      </c>
      <c r="B90" t="s">
        <v>152</v>
      </c>
      <c r="C90" t="s">
        <v>318</v>
      </c>
      <c r="D90" t="s">
        <v>123</v>
      </c>
      <c r="E90">
        <v>7075</v>
      </c>
      <c r="F90" t="s">
        <v>128</v>
      </c>
      <c r="G90" s="3">
        <f>E90*1000</f>
        <v>7075000</v>
      </c>
      <c r="H90" s="3" t="s">
        <v>9</v>
      </c>
    </row>
    <row r="91" spans="1:8" x14ac:dyDescent="0.35">
      <c r="A91" t="s">
        <v>120</v>
      </c>
      <c r="B91" t="s">
        <v>152</v>
      </c>
      <c r="C91" t="s">
        <v>318</v>
      </c>
      <c r="D91" t="s">
        <v>124</v>
      </c>
      <c r="E91">
        <v>165.6</v>
      </c>
      <c r="F91" t="s">
        <v>128</v>
      </c>
      <c r="G91" s="3">
        <f>E91*1000</f>
        <v>165600</v>
      </c>
      <c r="H91" s="3" t="s">
        <v>9</v>
      </c>
    </row>
    <row r="92" spans="1:8" x14ac:dyDescent="0.35">
      <c r="A92" t="s">
        <v>120</v>
      </c>
      <c r="B92" t="s">
        <v>152</v>
      </c>
      <c r="C92" t="s">
        <v>318</v>
      </c>
      <c r="D92" t="s">
        <v>125</v>
      </c>
      <c r="E92">
        <v>921.5</v>
      </c>
      <c r="F92" t="s">
        <v>128</v>
      </c>
      <c r="G92" s="3">
        <f>E92*1000</f>
        <v>921500</v>
      </c>
      <c r="H92" s="3" t="s">
        <v>9</v>
      </c>
    </row>
    <row r="93" spans="1:8" x14ac:dyDescent="0.35">
      <c r="A93" t="s">
        <v>120</v>
      </c>
      <c r="B93" t="s">
        <v>152</v>
      </c>
      <c r="C93" t="s">
        <v>318</v>
      </c>
      <c r="D93" t="s">
        <v>126</v>
      </c>
      <c r="E93">
        <v>1</v>
      </c>
      <c r="F93" t="s">
        <v>128</v>
      </c>
      <c r="G93" s="3">
        <f>E93*1000</f>
        <v>1000</v>
      </c>
      <c r="H93" s="3" t="s">
        <v>9</v>
      </c>
    </row>
    <row r="94" spans="1:8" x14ac:dyDescent="0.35">
      <c r="A94" t="s">
        <v>50</v>
      </c>
      <c r="B94" t="s">
        <v>51</v>
      </c>
      <c r="C94" t="s">
        <v>318</v>
      </c>
      <c r="D94" t="s">
        <v>52</v>
      </c>
      <c r="E94">
        <v>1430653</v>
      </c>
      <c r="F94" t="s">
        <v>9</v>
      </c>
      <c r="G94">
        <f>E94</f>
        <v>1430653</v>
      </c>
      <c r="H94" t="str">
        <f>F94</f>
        <v>GJ</v>
      </c>
    </row>
    <row r="95" spans="1:8" x14ac:dyDescent="0.35">
      <c r="A95" t="s">
        <v>50</v>
      </c>
      <c r="B95" t="s">
        <v>51</v>
      </c>
      <c r="C95" t="s">
        <v>318</v>
      </c>
      <c r="D95" t="s">
        <v>53</v>
      </c>
      <c r="E95">
        <v>1201840</v>
      </c>
      <c r="F95" t="s">
        <v>9</v>
      </c>
      <c r="G95">
        <f>E95</f>
        <v>1201840</v>
      </c>
      <c r="H95" t="str">
        <f>F95</f>
        <v>GJ</v>
      </c>
    </row>
    <row r="96" spans="1:8" x14ac:dyDescent="0.35">
      <c r="A96" t="s">
        <v>120</v>
      </c>
      <c r="B96" t="s">
        <v>194</v>
      </c>
      <c r="C96" t="s">
        <v>318</v>
      </c>
      <c r="D96" t="s">
        <v>122</v>
      </c>
      <c r="E96">
        <v>2413</v>
      </c>
      <c r="F96" t="s">
        <v>128</v>
      </c>
      <c r="G96" s="3">
        <f>E96*1000</f>
        <v>2413000</v>
      </c>
      <c r="H96" s="3" t="s">
        <v>9</v>
      </c>
    </row>
    <row r="97" spans="1:8" x14ac:dyDescent="0.35">
      <c r="A97" t="s">
        <v>120</v>
      </c>
      <c r="B97" t="s">
        <v>194</v>
      </c>
      <c r="C97" t="s">
        <v>318</v>
      </c>
      <c r="D97" t="s">
        <v>123</v>
      </c>
      <c r="E97">
        <v>1675</v>
      </c>
      <c r="F97" t="s">
        <v>128</v>
      </c>
      <c r="G97" s="3">
        <f>E97*1000</f>
        <v>1675000</v>
      </c>
      <c r="H97" s="3" t="s">
        <v>9</v>
      </c>
    </row>
    <row r="98" spans="1:8" x14ac:dyDescent="0.35">
      <c r="A98" t="s">
        <v>120</v>
      </c>
      <c r="B98" t="s">
        <v>194</v>
      </c>
      <c r="C98" t="s">
        <v>318</v>
      </c>
      <c r="D98" t="s">
        <v>124</v>
      </c>
      <c r="E98">
        <v>37.6</v>
      </c>
      <c r="F98" t="s">
        <v>128</v>
      </c>
      <c r="G98" s="3">
        <f>E98*1000</f>
        <v>37600</v>
      </c>
      <c r="H98" s="3" t="s">
        <v>9</v>
      </c>
    </row>
    <row r="99" spans="1:8" x14ac:dyDescent="0.35">
      <c r="A99" t="s">
        <v>120</v>
      </c>
      <c r="B99" t="s">
        <v>194</v>
      </c>
      <c r="C99" t="s">
        <v>318</v>
      </c>
      <c r="D99" t="s">
        <v>125</v>
      </c>
      <c r="E99">
        <v>209.6</v>
      </c>
      <c r="F99" t="s">
        <v>128</v>
      </c>
      <c r="G99" s="3">
        <f>E99*1000</f>
        <v>209600</v>
      </c>
      <c r="H99" s="3" t="s">
        <v>9</v>
      </c>
    </row>
    <row r="100" spans="1:8" x14ac:dyDescent="0.35">
      <c r="A100" t="s">
        <v>120</v>
      </c>
      <c r="B100" t="s">
        <v>194</v>
      </c>
      <c r="C100" t="s">
        <v>318</v>
      </c>
      <c r="D100" t="s">
        <v>126</v>
      </c>
      <c r="E100">
        <v>4.9000000000000004</v>
      </c>
      <c r="F100" t="s">
        <v>128</v>
      </c>
      <c r="G100" s="3">
        <f>E100*1000</f>
        <v>4900</v>
      </c>
      <c r="H100" s="3" t="s">
        <v>9</v>
      </c>
    </row>
    <row r="101" spans="1:8" x14ac:dyDescent="0.35">
      <c r="A101" t="s">
        <v>380</v>
      </c>
      <c r="B101" t="s">
        <v>381</v>
      </c>
      <c r="C101" t="s">
        <v>318</v>
      </c>
      <c r="D101" t="s">
        <v>106</v>
      </c>
      <c r="E101">
        <v>404788</v>
      </c>
      <c r="F101" t="s">
        <v>382</v>
      </c>
      <c r="G101" s="3">
        <f>E101*1000*Parameters!D2</f>
        <v>1457236.8</v>
      </c>
      <c r="H101" s="3" t="s">
        <v>9</v>
      </c>
    </row>
    <row r="102" spans="1:8" x14ac:dyDescent="0.35">
      <c r="A102" t="s">
        <v>380</v>
      </c>
      <c r="B102" t="s">
        <v>381</v>
      </c>
      <c r="C102" t="s">
        <v>318</v>
      </c>
      <c r="D102" t="s">
        <v>383</v>
      </c>
      <c r="E102">
        <v>1896</v>
      </c>
      <c r="F102" t="s">
        <v>382</v>
      </c>
      <c r="G102" s="3">
        <f>E102*1000*Parameters!D2</f>
        <v>6825.5999999999995</v>
      </c>
      <c r="H102" s="3" t="s">
        <v>9</v>
      </c>
    </row>
  </sheetData>
  <autoFilter ref="A1:H1" xr:uid="{C5B3B7A2-7338-49EA-A835-5D6F474CADEC}">
    <sortState xmlns:xlrd2="http://schemas.microsoft.com/office/spreadsheetml/2017/richdata2" ref="A2:H100">
      <sortCondition ref="C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D9B0-6CC6-4AE5-A8D3-19577DB79606}">
  <dimension ref="A1:H192"/>
  <sheetViews>
    <sheetView topLeftCell="A39" zoomScale="80" zoomScaleNormal="80" workbookViewId="0">
      <selection activeCell="D173" sqref="D173"/>
    </sheetView>
  </sheetViews>
  <sheetFormatPr baseColWidth="10" defaultRowHeight="14.5" x14ac:dyDescent="0.35"/>
  <cols>
    <col min="1" max="1" width="22.81640625" bestFit="1" customWidth="1"/>
    <col min="2" max="2" width="21.7265625" bestFit="1" customWidth="1"/>
    <col min="3" max="3" width="16.54296875" customWidth="1"/>
    <col min="4" max="4" width="48.1796875" bestFit="1" customWidth="1"/>
    <col min="5" max="5" width="12" bestFit="1" customWidth="1"/>
  </cols>
  <sheetData>
    <row r="1" spans="1:6" x14ac:dyDescent="0.35">
      <c r="A1" s="1" t="s">
        <v>0</v>
      </c>
      <c r="B1" s="1" t="s">
        <v>1</v>
      </c>
      <c r="C1" s="1" t="s">
        <v>13</v>
      </c>
      <c r="D1" s="1" t="s">
        <v>2</v>
      </c>
      <c r="E1" s="1" t="s">
        <v>7</v>
      </c>
      <c r="F1" s="1" t="s">
        <v>3</v>
      </c>
    </row>
    <row r="2" spans="1:6" x14ac:dyDescent="0.35">
      <c r="A2" t="s">
        <v>4</v>
      </c>
      <c r="B2" t="s">
        <v>5</v>
      </c>
      <c r="C2" t="s">
        <v>14</v>
      </c>
      <c r="D2" t="s">
        <v>6</v>
      </c>
      <c r="E2" t="s">
        <v>8</v>
      </c>
      <c r="F2" t="s">
        <v>9</v>
      </c>
    </row>
    <row r="3" spans="1:6" x14ac:dyDescent="0.35">
      <c r="A3" t="s">
        <v>4</v>
      </c>
      <c r="B3" t="s">
        <v>5</v>
      </c>
      <c r="C3" t="s">
        <v>14</v>
      </c>
      <c r="D3" t="s">
        <v>10</v>
      </c>
      <c r="E3" t="s">
        <v>11</v>
      </c>
      <c r="F3" t="s">
        <v>9</v>
      </c>
    </row>
    <row r="4" spans="1:6" x14ac:dyDescent="0.35">
      <c r="A4" t="s">
        <v>4</v>
      </c>
      <c r="B4" t="s">
        <v>5</v>
      </c>
      <c r="C4" t="s">
        <v>15</v>
      </c>
      <c r="D4" t="s">
        <v>12</v>
      </c>
      <c r="E4" t="s">
        <v>16</v>
      </c>
      <c r="F4" t="s">
        <v>17</v>
      </c>
    </row>
    <row r="5" spans="1:6" x14ac:dyDescent="0.35">
      <c r="A5" t="s">
        <v>4</v>
      </c>
      <c r="B5" t="s">
        <v>5</v>
      </c>
      <c r="C5" t="s">
        <v>15</v>
      </c>
      <c r="D5" t="s">
        <v>18</v>
      </c>
      <c r="E5" t="s">
        <v>19</v>
      </c>
      <c r="F5" t="s">
        <v>20</v>
      </c>
    </row>
    <row r="6" spans="1:6" x14ac:dyDescent="0.35">
      <c r="A6" t="s">
        <v>4</v>
      </c>
      <c r="B6" t="s">
        <v>5</v>
      </c>
      <c r="C6" t="s">
        <v>15</v>
      </c>
      <c r="D6" t="s">
        <v>21</v>
      </c>
      <c r="E6" t="s">
        <v>22</v>
      </c>
      <c r="F6" t="s">
        <v>20</v>
      </c>
    </row>
    <row r="7" spans="1:6" x14ac:dyDescent="0.35">
      <c r="A7" t="s">
        <v>4</v>
      </c>
      <c r="B7" t="s">
        <v>23</v>
      </c>
      <c r="C7" t="s">
        <v>14</v>
      </c>
      <c r="D7" t="s">
        <v>6</v>
      </c>
      <c r="E7" t="s">
        <v>24</v>
      </c>
      <c r="F7" t="s">
        <v>9</v>
      </c>
    </row>
    <row r="8" spans="1:6" x14ac:dyDescent="0.35">
      <c r="A8" t="s">
        <v>4</v>
      </c>
      <c r="B8" t="s">
        <v>23</v>
      </c>
      <c r="C8" t="s">
        <v>14</v>
      </c>
      <c r="D8" t="s">
        <v>25</v>
      </c>
      <c r="E8" t="s">
        <v>26</v>
      </c>
      <c r="F8" t="s">
        <v>9</v>
      </c>
    </row>
    <row r="9" spans="1:6" x14ac:dyDescent="0.35">
      <c r="A9" t="s">
        <v>4</v>
      </c>
      <c r="B9" t="s">
        <v>23</v>
      </c>
      <c r="C9" t="s">
        <v>15</v>
      </c>
      <c r="D9" t="s">
        <v>27</v>
      </c>
      <c r="E9" t="s">
        <v>28</v>
      </c>
      <c r="F9" t="s">
        <v>29</v>
      </c>
    </row>
    <row r="10" spans="1:6" x14ac:dyDescent="0.35">
      <c r="A10" t="s">
        <v>4</v>
      </c>
      <c r="B10" t="s">
        <v>23</v>
      </c>
      <c r="C10" t="s">
        <v>15</v>
      </c>
      <c r="D10" t="s">
        <v>30</v>
      </c>
      <c r="E10" t="s">
        <v>31</v>
      </c>
      <c r="F10" t="s">
        <v>29</v>
      </c>
    </row>
    <row r="11" spans="1:6" x14ac:dyDescent="0.35">
      <c r="A11" t="s">
        <v>4</v>
      </c>
      <c r="B11" t="s">
        <v>23</v>
      </c>
      <c r="C11" t="s">
        <v>15</v>
      </c>
      <c r="D11" t="s">
        <v>32</v>
      </c>
      <c r="E11" t="s">
        <v>33</v>
      </c>
      <c r="F11" t="s">
        <v>34</v>
      </c>
    </row>
    <row r="12" spans="1:6" x14ac:dyDescent="0.35">
      <c r="A12" t="s">
        <v>4</v>
      </c>
      <c r="B12" t="s">
        <v>23</v>
      </c>
      <c r="C12" t="s">
        <v>15</v>
      </c>
      <c r="D12" t="s">
        <v>35</v>
      </c>
      <c r="E12" t="s">
        <v>36</v>
      </c>
      <c r="F12" t="s">
        <v>34</v>
      </c>
    </row>
    <row r="13" spans="1:6" x14ac:dyDescent="0.35">
      <c r="A13" t="s">
        <v>4</v>
      </c>
      <c r="B13" t="s">
        <v>37</v>
      </c>
      <c r="C13" t="s">
        <v>14</v>
      </c>
      <c r="D13" t="s">
        <v>6</v>
      </c>
      <c r="E13" t="s">
        <v>38</v>
      </c>
      <c r="F13" t="s">
        <v>9</v>
      </c>
    </row>
    <row r="14" spans="1:6" x14ac:dyDescent="0.35">
      <c r="A14" t="s">
        <v>4</v>
      </c>
      <c r="B14" t="s">
        <v>37</v>
      </c>
      <c r="C14" t="s">
        <v>15</v>
      </c>
      <c r="D14" t="s">
        <v>39</v>
      </c>
      <c r="E14">
        <v>6900</v>
      </c>
      <c r="F14" t="s">
        <v>17</v>
      </c>
    </row>
    <row r="15" spans="1:6" x14ac:dyDescent="0.35">
      <c r="A15" t="s">
        <v>4</v>
      </c>
      <c r="B15" t="s">
        <v>37</v>
      </c>
      <c r="C15" t="s">
        <v>15</v>
      </c>
      <c r="D15" t="s">
        <v>40</v>
      </c>
      <c r="E15">
        <v>4328</v>
      </c>
      <c r="F15" t="s">
        <v>20</v>
      </c>
    </row>
    <row r="16" spans="1:6" x14ac:dyDescent="0.35">
      <c r="A16" t="s">
        <v>41</v>
      </c>
      <c r="B16" t="s">
        <v>42</v>
      </c>
      <c r="C16" t="s">
        <v>14</v>
      </c>
      <c r="D16" t="s">
        <v>43</v>
      </c>
      <c r="E16">
        <v>25584</v>
      </c>
      <c r="F16" t="s">
        <v>329</v>
      </c>
    </row>
    <row r="17" spans="1:6" x14ac:dyDescent="0.35">
      <c r="A17" t="s">
        <v>41</v>
      </c>
      <c r="B17" t="s">
        <v>42</v>
      </c>
      <c r="C17" t="s">
        <v>14</v>
      </c>
      <c r="D17" t="s">
        <v>44</v>
      </c>
      <c r="E17" t="s">
        <v>45</v>
      </c>
      <c r="F17" t="s">
        <v>46</v>
      </c>
    </row>
    <row r="18" spans="1:6" x14ac:dyDescent="0.35">
      <c r="A18" t="s">
        <v>41</v>
      </c>
      <c r="B18" t="s">
        <v>42</v>
      </c>
      <c r="C18" t="s">
        <v>15</v>
      </c>
      <c r="D18" t="s">
        <v>47</v>
      </c>
      <c r="E18" t="s">
        <v>49</v>
      </c>
      <c r="F18" t="s">
        <v>17</v>
      </c>
    </row>
    <row r="19" spans="1:6" x14ac:dyDescent="0.35">
      <c r="A19" t="s">
        <v>41</v>
      </c>
      <c r="B19" t="s">
        <v>42</v>
      </c>
      <c r="C19" t="s">
        <v>15</v>
      </c>
      <c r="D19" t="s">
        <v>48</v>
      </c>
      <c r="E19">
        <v>51667</v>
      </c>
      <c r="F19" t="s">
        <v>17</v>
      </c>
    </row>
    <row r="20" spans="1:6" x14ac:dyDescent="0.35">
      <c r="A20" t="s">
        <v>50</v>
      </c>
      <c r="B20" t="s">
        <v>51</v>
      </c>
      <c r="C20" t="s">
        <v>14</v>
      </c>
      <c r="D20" t="s">
        <v>52</v>
      </c>
      <c r="E20" t="s">
        <v>54</v>
      </c>
      <c r="F20" t="s">
        <v>9</v>
      </c>
    </row>
    <row r="21" spans="1:6" x14ac:dyDescent="0.35">
      <c r="A21" t="s">
        <v>50</v>
      </c>
      <c r="B21" t="s">
        <v>51</v>
      </c>
      <c r="C21" t="s">
        <v>14</v>
      </c>
      <c r="D21" t="s">
        <v>53</v>
      </c>
      <c r="E21" t="s">
        <v>55</v>
      </c>
      <c r="F21" t="s">
        <v>9</v>
      </c>
    </row>
    <row r="22" spans="1:6" x14ac:dyDescent="0.35">
      <c r="A22" t="s">
        <v>50</v>
      </c>
      <c r="B22" t="s">
        <v>51</v>
      </c>
      <c r="C22" t="s">
        <v>15</v>
      </c>
      <c r="D22" t="s">
        <v>56</v>
      </c>
      <c r="E22" t="s">
        <v>60</v>
      </c>
      <c r="F22" t="s">
        <v>59</v>
      </c>
    </row>
    <row r="23" spans="1:6" x14ac:dyDescent="0.35">
      <c r="A23" t="s">
        <v>50</v>
      </c>
      <c r="B23" t="s">
        <v>51</v>
      </c>
      <c r="C23" t="s">
        <v>15</v>
      </c>
      <c r="D23" t="s">
        <v>57</v>
      </c>
      <c r="E23" t="s">
        <v>61</v>
      </c>
      <c r="F23" t="s">
        <v>59</v>
      </c>
    </row>
    <row r="24" spans="1:6" x14ac:dyDescent="0.35">
      <c r="A24" t="s">
        <v>50</v>
      </c>
      <c r="B24" t="s">
        <v>51</v>
      </c>
      <c r="C24" t="s">
        <v>15</v>
      </c>
      <c r="D24" t="s">
        <v>58</v>
      </c>
      <c r="E24">
        <v>86.305880610279956</v>
      </c>
      <c r="F24" t="s">
        <v>59</v>
      </c>
    </row>
    <row r="25" spans="1:6" x14ac:dyDescent="0.35">
      <c r="A25" t="s">
        <v>50</v>
      </c>
      <c r="B25" t="s">
        <v>62</v>
      </c>
      <c r="C25" t="s">
        <v>14</v>
      </c>
      <c r="D25" t="s">
        <v>52</v>
      </c>
      <c r="E25" t="s">
        <v>63</v>
      </c>
      <c r="F25" t="s">
        <v>9</v>
      </c>
    </row>
    <row r="26" spans="1:6" x14ac:dyDescent="0.35">
      <c r="A26" t="s">
        <v>50</v>
      </c>
      <c r="B26" t="s">
        <v>62</v>
      </c>
      <c r="C26" t="s">
        <v>14</v>
      </c>
      <c r="D26" t="s">
        <v>53</v>
      </c>
      <c r="E26" t="s">
        <v>64</v>
      </c>
      <c r="F26" t="s">
        <v>9</v>
      </c>
    </row>
    <row r="27" spans="1:6" x14ac:dyDescent="0.35">
      <c r="A27" t="s">
        <v>50</v>
      </c>
      <c r="B27" t="s">
        <v>62</v>
      </c>
      <c r="C27" t="s">
        <v>15</v>
      </c>
      <c r="D27" t="s">
        <v>56</v>
      </c>
      <c r="E27" t="s">
        <v>65</v>
      </c>
      <c r="F27" t="s">
        <v>59</v>
      </c>
    </row>
    <row r="28" spans="1:6" x14ac:dyDescent="0.35">
      <c r="A28" t="s">
        <v>50</v>
      </c>
      <c r="B28" t="s">
        <v>62</v>
      </c>
      <c r="C28" t="s">
        <v>15</v>
      </c>
      <c r="D28" t="s">
        <v>57</v>
      </c>
      <c r="E28" t="s">
        <v>66</v>
      </c>
      <c r="F28" t="s">
        <v>59</v>
      </c>
    </row>
    <row r="29" spans="1:6" x14ac:dyDescent="0.35">
      <c r="A29" t="s">
        <v>50</v>
      </c>
      <c r="B29" t="s">
        <v>62</v>
      </c>
      <c r="C29" t="s">
        <v>15</v>
      </c>
      <c r="D29" t="s">
        <v>67</v>
      </c>
      <c r="E29">
        <v>980000</v>
      </c>
      <c r="F29" t="s">
        <v>20</v>
      </c>
    </row>
    <row r="30" spans="1:6" x14ac:dyDescent="0.35">
      <c r="A30" t="s">
        <v>50</v>
      </c>
      <c r="B30" t="s">
        <v>70</v>
      </c>
      <c r="C30" t="s">
        <v>14</v>
      </c>
      <c r="D30" t="s">
        <v>52</v>
      </c>
      <c r="E30" t="s">
        <v>68</v>
      </c>
      <c r="F30" t="s">
        <v>9</v>
      </c>
    </row>
    <row r="31" spans="1:6" x14ac:dyDescent="0.35">
      <c r="A31" t="s">
        <v>50</v>
      </c>
      <c r="B31" t="s">
        <v>70</v>
      </c>
      <c r="C31" t="s">
        <v>14</v>
      </c>
      <c r="D31" t="s">
        <v>53</v>
      </c>
      <c r="E31" t="s">
        <v>69</v>
      </c>
      <c r="F31" t="s">
        <v>9</v>
      </c>
    </row>
    <row r="32" spans="1:6" x14ac:dyDescent="0.35">
      <c r="A32" t="s">
        <v>50</v>
      </c>
      <c r="B32" t="s">
        <v>70</v>
      </c>
      <c r="C32" t="s">
        <v>15</v>
      </c>
      <c r="D32" t="s">
        <v>57</v>
      </c>
      <c r="E32">
        <v>47364</v>
      </c>
      <c r="F32" t="s">
        <v>59</v>
      </c>
    </row>
    <row r="33" spans="1:6" x14ac:dyDescent="0.35">
      <c r="A33" t="s">
        <v>50</v>
      </c>
      <c r="B33" t="s">
        <v>70</v>
      </c>
      <c r="C33" t="s">
        <v>15</v>
      </c>
      <c r="D33" t="s">
        <v>71</v>
      </c>
      <c r="E33">
        <v>5810.6007416777857</v>
      </c>
      <c r="F33" t="s">
        <v>20</v>
      </c>
    </row>
    <row r="34" spans="1:6" x14ac:dyDescent="0.35">
      <c r="A34" t="s">
        <v>50</v>
      </c>
      <c r="B34" t="s">
        <v>72</v>
      </c>
      <c r="C34" t="s">
        <v>14</v>
      </c>
      <c r="D34" t="s">
        <v>52</v>
      </c>
      <c r="E34" t="s">
        <v>73</v>
      </c>
      <c r="F34" t="s">
        <v>9</v>
      </c>
    </row>
    <row r="35" spans="1:6" x14ac:dyDescent="0.35">
      <c r="A35" t="s">
        <v>50</v>
      </c>
      <c r="B35" t="s">
        <v>72</v>
      </c>
      <c r="C35" t="s">
        <v>14</v>
      </c>
      <c r="D35" t="s">
        <v>53</v>
      </c>
      <c r="E35" t="s">
        <v>74</v>
      </c>
      <c r="F35" t="s">
        <v>9</v>
      </c>
    </row>
    <row r="36" spans="1:6" x14ac:dyDescent="0.35">
      <c r="A36" t="s">
        <v>50</v>
      </c>
      <c r="B36" t="s">
        <v>72</v>
      </c>
      <c r="C36" t="s">
        <v>15</v>
      </c>
      <c r="D36" t="s">
        <v>57</v>
      </c>
      <c r="E36" t="s">
        <v>75</v>
      </c>
      <c r="F36" t="s">
        <v>59</v>
      </c>
    </row>
    <row r="37" spans="1:6" x14ac:dyDescent="0.35">
      <c r="A37" t="s">
        <v>50</v>
      </c>
      <c r="B37" t="s">
        <v>72</v>
      </c>
      <c r="C37" t="s">
        <v>15</v>
      </c>
      <c r="D37" t="s">
        <v>76</v>
      </c>
      <c r="E37">
        <v>770</v>
      </c>
      <c r="F37" t="s">
        <v>59</v>
      </c>
    </row>
    <row r="38" spans="1:6" x14ac:dyDescent="0.35">
      <c r="A38" t="s">
        <v>50</v>
      </c>
      <c r="B38" t="s">
        <v>72</v>
      </c>
      <c r="C38" t="s">
        <v>15</v>
      </c>
      <c r="D38" t="s">
        <v>77</v>
      </c>
      <c r="E38" t="s">
        <v>78</v>
      </c>
      <c r="F38" t="s">
        <v>79</v>
      </c>
    </row>
    <row r="39" spans="1:6" x14ac:dyDescent="0.35">
      <c r="A39" t="s">
        <v>80</v>
      </c>
      <c r="B39" t="s">
        <v>81</v>
      </c>
      <c r="C39" t="s">
        <v>14</v>
      </c>
      <c r="D39" t="s">
        <v>82</v>
      </c>
      <c r="E39" t="s">
        <v>86</v>
      </c>
      <c r="F39" t="s">
        <v>9</v>
      </c>
    </row>
    <row r="40" spans="1:6" x14ac:dyDescent="0.35">
      <c r="A40" t="s">
        <v>80</v>
      </c>
      <c r="B40" t="s">
        <v>81</v>
      </c>
      <c r="C40" t="s">
        <v>14</v>
      </c>
      <c r="D40" t="s">
        <v>83</v>
      </c>
      <c r="E40" t="s">
        <v>87</v>
      </c>
      <c r="F40" t="s">
        <v>9</v>
      </c>
    </row>
    <row r="41" spans="1:6" x14ac:dyDescent="0.35">
      <c r="A41" t="s">
        <v>80</v>
      </c>
      <c r="B41" t="s">
        <v>81</v>
      </c>
      <c r="C41" t="s">
        <v>14</v>
      </c>
      <c r="D41" t="s">
        <v>84</v>
      </c>
      <c r="E41" t="s">
        <v>88</v>
      </c>
      <c r="F41" t="s">
        <v>9</v>
      </c>
    </row>
    <row r="42" spans="1:6" x14ac:dyDescent="0.35">
      <c r="A42" t="s">
        <v>80</v>
      </c>
      <c r="B42" t="s">
        <v>81</v>
      </c>
      <c r="C42" t="s">
        <v>14</v>
      </c>
      <c r="D42" t="s">
        <v>85</v>
      </c>
      <c r="E42" t="s">
        <v>89</v>
      </c>
      <c r="F42" t="s">
        <v>9</v>
      </c>
    </row>
    <row r="43" spans="1:6" x14ac:dyDescent="0.35">
      <c r="A43" t="s">
        <v>80</v>
      </c>
      <c r="B43" t="s">
        <v>81</v>
      </c>
      <c r="C43" t="s">
        <v>15</v>
      </c>
      <c r="D43" t="s">
        <v>90</v>
      </c>
      <c r="E43">
        <v>13816</v>
      </c>
      <c r="F43" t="s">
        <v>17</v>
      </c>
    </row>
    <row r="44" spans="1:6" x14ac:dyDescent="0.35">
      <c r="A44" t="s">
        <v>91</v>
      </c>
      <c r="B44" t="s">
        <v>92</v>
      </c>
      <c r="C44" t="s">
        <v>14</v>
      </c>
      <c r="D44" t="s">
        <v>93</v>
      </c>
      <c r="E44" t="s">
        <v>94</v>
      </c>
      <c r="F44" t="s">
        <v>95</v>
      </c>
    </row>
    <row r="45" spans="1:6" x14ac:dyDescent="0.35">
      <c r="A45" t="s">
        <v>91</v>
      </c>
      <c r="B45" t="s">
        <v>92</v>
      </c>
      <c r="C45" t="s">
        <v>15</v>
      </c>
      <c r="D45" t="s">
        <v>39</v>
      </c>
      <c r="E45" t="s">
        <v>98</v>
      </c>
      <c r="F45" t="s">
        <v>59</v>
      </c>
    </row>
    <row r="46" spans="1:6" x14ac:dyDescent="0.35">
      <c r="A46" t="s">
        <v>91</v>
      </c>
      <c r="B46" t="s">
        <v>92</v>
      </c>
      <c r="C46" t="s">
        <v>15</v>
      </c>
      <c r="D46" t="s">
        <v>96</v>
      </c>
      <c r="E46" t="s">
        <v>99</v>
      </c>
      <c r="F46" t="s">
        <v>20</v>
      </c>
    </row>
    <row r="47" spans="1:6" x14ac:dyDescent="0.35">
      <c r="A47" t="s">
        <v>91</v>
      </c>
      <c r="B47" t="s">
        <v>92</v>
      </c>
      <c r="C47" t="s">
        <v>15</v>
      </c>
      <c r="D47" t="s">
        <v>97</v>
      </c>
      <c r="E47">
        <v>231</v>
      </c>
      <c r="F47" t="s">
        <v>59</v>
      </c>
    </row>
    <row r="48" spans="1:6" x14ac:dyDescent="0.35">
      <c r="A48" t="s">
        <v>91</v>
      </c>
      <c r="B48" t="s">
        <v>92</v>
      </c>
      <c r="C48" t="s">
        <v>15</v>
      </c>
      <c r="D48" t="s">
        <v>100</v>
      </c>
      <c r="E48">
        <v>4539.3236111111109</v>
      </c>
      <c r="F48" t="s">
        <v>59</v>
      </c>
    </row>
    <row r="49" spans="1:6" x14ac:dyDescent="0.35">
      <c r="A49" t="s">
        <v>91</v>
      </c>
      <c r="B49" t="s">
        <v>92</v>
      </c>
      <c r="C49" t="s">
        <v>15</v>
      </c>
      <c r="D49" t="s">
        <v>101</v>
      </c>
      <c r="E49">
        <v>9436.2698032407407</v>
      </c>
      <c r="F49" t="s">
        <v>59</v>
      </c>
    </row>
    <row r="50" spans="1:6" x14ac:dyDescent="0.35">
      <c r="A50" t="s">
        <v>91</v>
      </c>
      <c r="B50" t="s">
        <v>92</v>
      </c>
      <c r="C50" t="s">
        <v>15</v>
      </c>
      <c r="D50" t="s">
        <v>102</v>
      </c>
      <c r="E50" t="s">
        <v>103</v>
      </c>
      <c r="F50" t="s">
        <v>20</v>
      </c>
    </row>
    <row r="51" spans="1:6" x14ac:dyDescent="0.35">
      <c r="A51" t="s">
        <v>104</v>
      </c>
      <c r="B51" t="s">
        <v>105</v>
      </c>
      <c r="C51" t="s">
        <v>14</v>
      </c>
      <c r="D51" t="s">
        <v>106</v>
      </c>
      <c r="E51" t="s">
        <v>109</v>
      </c>
      <c r="F51" t="s">
        <v>9</v>
      </c>
    </row>
    <row r="52" spans="1:6" x14ac:dyDescent="0.35">
      <c r="A52" t="s">
        <v>104</v>
      </c>
      <c r="B52" t="s">
        <v>105</v>
      </c>
      <c r="C52" t="s">
        <v>14</v>
      </c>
      <c r="D52" t="s">
        <v>107</v>
      </c>
      <c r="E52" t="s">
        <v>110</v>
      </c>
      <c r="F52" t="s">
        <v>9</v>
      </c>
    </row>
    <row r="53" spans="1:6" x14ac:dyDescent="0.35">
      <c r="A53" t="s">
        <v>104</v>
      </c>
      <c r="B53" t="s">
        <v>105</v>
      </c>
      <c r="C53" t="s">
        <v>14</v>
      </c>
      <c r="D53" t="s">
        <v>108</v>
      </c>
      <c r="E53" t="s">
        <v>111</v>
      </c>
      <c r="F53" t="s">
        <v>9</v>
      </c>
    </row>
    <row r="54" spans="1:6" x14ac:dyDescent="0.35">
      <c r="A54" t="s">
        <v>104</v>
      </c>
      <c r="B54" t="s">
        <v>105</v>
      </c>
      <c r="C54" t="s">
        <v>14</v>
      </c>
      <c r="D54" t="s">
        <v>53</v>
      </c>
      <c r="E54" t="s">
        <v>112</v>
      </c>
      <c r="F54" t="s">
        <v>9</v>
      </c>
    </row>
    <row r="55" spans="1:6" x14ac:dyDescent="0.35">
      <c r="A55" t="s">
        <v>104</v>
      </c>
      <c r="B55" t="s">
        <v>105</v>
      </c>
      <c r="C55" t="s">
        <v>15</v>
      </c>
      <c r="D55" t="s">
        <v>113</v>
      </c>
      <c r="E55" t="s">
        <v>114</v>
      </c>
      <c r="F55" t="s">
        <v>59</v>
      </c>
    </row>
    <row r="56" spans="1:6" x14ac:dyDescent="0.35">
      <c r="A56" t="s">
        <v>104</v>
      </c>
      <c r="B56" t="s">
        <v>115</v>
      </c>
      <c r="C56" t="s">
        <v>14</v>
      </c>
      <c r="D56" t="s">
        <v>106</v>
      </c>
      <c r="E56" t="s">
        <v>116</v>
      </c>
      <c r="F56" t="s">
        <v>9</v>
      </c>
    </row>
    <row r="57" spans="1:6" x14ac:dyDescent="0.35">
      <c r="A57" t="s">
        <v>104</v>
      </c>
      <c r="B57" t="s">
        <v>115</v>
      </c>
      <c r="C57" t="s">
        <v>14</v>
      </c>
      <c r="D57" t="s">
        <v>107</v>
      </c>
      <c r="E57" t="s">
        <v>117</v>
      </c>
      <c r="F57" t="s">
        <v>9</v>
      </c>
    </row>
    <row r="58" spans="1:6" x14ac:dyDescent="0.35">
      <c r="A58" t="s">
        <v>104</v>
      </c>
      <c r="B58" t="s">
        <v>115</v>
      </c>
      <c r="C58" t="s">
        <v>14</v>
      </c>
      <c r="D58" t="s">
        <v>53</v>
      </c>
      <c r="E58" t="s">
        <v>118</v>
      </c>
      <c r="F58" t="s">
        <v>9</v>
      </c>
    </row>
    <row r="59" spans="1:6" x14ac:dyDescent="0.35">
      <c r="A59" t="s">
        <v>104</v>
      </c>
      <c r="B59" t="s">
        <v>115</v>
      </c>
      <c r="C59" t="s">
        <v>15</v>
      </c>
      <c r="D59" t="s">
        <v>119</v>
      </c>
      <c r="E59">
        <v>5156</v>
      </c>
      <c r="F59" t="s">
        <v>59</v>
      </c>
    </row>
    <row r="60" spans="1:6" x14ac:dyDescent="0.35">
      <c r="A60" t="s">
        <v>120</v>
      </c>
      <c r="B60" t="s">
        <v>121</v>
      </c>
      <c r="C60" t="s">
        <v>14</v>
      </c>
      <c r="D60" t="s">
        <v>122</v>
      </c>
      <c r="E60" t="s">
        <v>127</v>
      </c>
      <c r="F60" t="s">
        <v>128</v>
      </c>
    </row>
    <row r="61" spans="1:6" x14ac:dyDescent="0.35">
      <c r="A61" t="s">
        <v>120</v>
      </c>
      <c r="B61" t="s">
        <v>121</v>
      </c>
      <c r="C61" t="s">
        <v>14</v>
      </c>
      <c r="D61" t="s">
        <v>123</v>
      </c>
      <c r="E61" t="s">
        <v>129</v>
      </c>
      <c r="F61" t="s">
        <v>128</v>
      </c>
    </row>
    <row r="62" spans="1:6" x14ac:dyDescent="0.35">
      <c r="A62" t="s">
        <v>120</v>
      </c>
      <c r="B62" t="s">
        <v>121</v>
      </c>
      <c r="C62" t="s">
        <v>14</v>
      </c>
      <c r="D62" t="s">
        <v>124</v>
      </c>
      <c r="E62" t="s">
        <v>130</v>
      </c>
      <c r="F62" t="s">
        <v>128</v>
      </c>
    </row>
    <row r="63" spans="1:6" x14ac:dyDescent="0.35">
      <c r="A63" t="s">
        <v>120</v>
      </c>
      <c r="B63" t="s">
        <v>121</v>
      </c>
      <c r="C63" t="s">
        <v>14</v>
      </c>
      <c r="D63" t="s">
        <v>125</v>
      </c>
      <c r="E63" t="s">
        <v>131</v>
      </c>
      <c r="F63" t="s">
        <v>128</v>
      </c>
    </row>
    <row r="64" spans="1:6" x14ac:dyDescent="0.35">
      <c r="A64" t="s">
        <v>120</v>
      </c>
      <c r="B64" t="s">
        <v>121</v>
      </c>
      <c r="C64" t="s">
        <v>14</v>
      </c>
      <c r="D64" t="s">
        <v>126</v>
      </c>
      <c r="E64" t="s">
        <v>132</v>
      </c>
      <c r="F64" t="s">
        <v>128</v>
      </c>
    </row>
    <row r="65" spans="1:6" x14ac:dyDescent="0.35">
      <c r="A65" t="s">
        <v>120</v>
      </c>
      <c r="B65" t="s">
        <v>121</v>
      </c>
      <c r="C65" t="s">
        <v>15</v>
      </c>
      <c r="D65" t="s">
        <v>133</v>
      </c>
      <c r="E65" t="s">
        <v>134</v>
      </c>
      <c r="F65" t="s">
        <v>59</v>
      </c>
    </row>
    <row r="66" spans="1:6" x14ac:dyDescent="0.35">
      <c r="A66" t="s">
        <v>120</v>
      </c>
      <c r="B66" t="s">
        <v>121</v>
      </c>
      <c r="C66" t="s">
        <v>15</v>
      </c>
      <c r="D66" t="s">
        <v>135</v>
      </c>
      <c r="E66" t="s">
        <v>136</v>
      </c>
      <c r="F66" t="s">
        <v>59</v>
      </c>
    </row>
    <row r="67" spans="1:6" x14ac:dyDescent="0.35">
      <c r="A67" t="s">
        <v>120</v>
      </c>
      <c r="B67" t="s">
        <v>137</v>
      </c>
      <c r="C67" t="s">
        <v>14</v>
      </c>
      <c r="D67" t="s">
        <v>138</v>
      </c>
      <c r="E67" t="s">
        <v>142</v>
      </c>
      <c r="F67" t="s">
        <v>128</v>
      </c>
    </row>
    <row r="68" spans="1:6" x14ac:dyDescent="0.35">
      <c r="A68" t="s">
        <v>120</v>
      </c>
      <c r="B68" t="s">
        <v>137</v>
      </c>
      <c r="C68" t="s">
        <v>14</v>
      </c>
      <c r="D68" t="s">
        <v>123</v>
      </c>
      <c r="E68" t="s">
        <v>143</v>
      </c>
      <c r="F68" t="s">
        <v>128</v>
      </c>
    </row>
    <row r="69" spans="1:6" x14ac:dyDescent="0.35">
      <c r="A69" t="s">
        <v>120</v>
      </c>
      <c r="B69" t="s">
        <v>137</v>
      </c>
      <c r="C69" t="s">
        <v>14</v>
      </c>
      <c r="D69" t="s">
        <v>139</v>
      </c>
      <c r="E69" t="s">
        <v>144</v>
      </c>
      <c r="F69" t="s">
        <v>128</v>
      </c>
    </row>
    <row r="70" spans="1:6" x14ac:dyDescent="0.35">
      <c r="A70" t="s">
        <v>120</v>
      </c>
      <c r="B70" t="s">
        <v>137</v>
      </c>
      <c r="C70" t="s">
        <v>14</v>
      </c>
      <c r="D70" t="s">
        <v>124</v>
      </c>
      <c r="E70" t="s">
        <v>145</v>
      </c>
      <c r="F70" t="s">
        <v>128</v>
      </c>
    </row>
    <row r="71" spans="1:6" x14ac:dyDescent="0.35">
      <c r="A71" t="s">
        <v>120</v>
      </c>
      <c r="B71" t="s">
        <v>137</v>
      </c>
      <c r="C71" t="s">
        <v>14</v>
      </c>
      <c r="D71" t="s">
        <v>140</v>
      </c>
      <c r="E71" t="s">
        <v>146</v>
      </c>
      <c r="F71" t="s">
        <v>128</v>
      </c>
    </row>
    <row r="72" spans="1:6" x14ac:dyDescent="0.35">
      <c r="A72" t="s">
        <v>120</v>
      </c>
      <c r="B72" t="s">
        <v>137</v>
      </c>
      <c r="C72" t="s">
        <v>14</v>
      </c>
      <c r="D72" t="s">
        <v>141</v>
      </c>
      <c r="E72" t="s">
        <v>147</v>
      </c>
      <c r="F72" t="s">
        <v>128</v>
      </c>
    </row>
    <row r="73" spans="1:6" x14ac:dyDescent="0.35">
      <c r="A73" t="s">
        <v>120</v>
      </c>
      <c r="B73" t="s">
        <v>137</v>
      </c>
      <c r="C73" t="s">
        <v>15</v>
      </c>
      <c r="D73" t="s">
        <v>133</v>
      </c>
      <c r="E73" t="s">
        <v>149</v>
      </c>
      <c r="F73" t="s">
        <v>59</v>
      </c>
    </row>
    <row r="74" spans="1:6" x14ac:dyDescent="0.35">
      <c r="A74" t="s">
        <v>120</v>
      </c>
      <c r="B74" t="s">
        <v>137</v>
      </c>
      <c r="C74" t="s">
        <v>15</v>
      </c>
      <c r="D74" t="s">
        <v>148</v>
      </c>
      <c r="E74" t="s">
        <v>150</v>
      </c>
      <c r="F74" t="s">
        <v>20</v>
      </c>
    </row>
    <row r="75" spans="1:6" x14ac:dyDescent="0.35">
      <c r="A75" t="s">
        <v>120</v>
      </c>
      <c r="B75" t="s">
        <v>137</v>
      </c>
      <c r="C75" t="s">
        <v>15</v>
      </c>
      <c r="D75" t="s">
        <v>151</v>
      </c>
      <c r="E75">
        <v>6461663.806117164</v>
      </c>
      <c r="F75" t="s">
        <v>20</v>
      </c>
    </row>
    <row r="76" spans="1:6" x14ac:dyDescent="0.35">
      <c r="A76" t="s">
        <v>120</v>
      </c>
      <c r="B76" t="s">
        <v>152</v>
      </c>
      <c r="C76" t="s">
        <v>14</v>
      </c>
      <c r="D76" t="s">
        <v>122</v>
      </c>
      <c r="E76" t="s">
        <v>153</v>
      </c>
      <c r="F76" t="s">
        <v>128</v>
      </c>
    </row>
    <row r="77" spans="1:6" x14ac:dyDescent="0.35">
      <c r="A77" t="s">
        <v>120</v>
      </c>
      <c r="B77" t="s">
        <v>152</v>
      </c>
      <c r="C77" t="s">
        <v>14</v>
      </c>
      <c r="D77" t="s">
        <v>123</v>
      </c>
      <c r="E77" t="s">
        <v>154</v>
      </c>
      <c r="F77" t="s">
        <v>128</v>
      </c>
    </row>
    <row r="78" spans="1:6" x14ac:dyDescent="0.35">
      <c r="A78" t="s">
        <v>120</v>
      </c>
      <c r="B78" t="s">
        <v>152</v>
      </c>
      <c r="C78" t="s">
        <v>14</v>
      </c>
      <c r="D78" t="s">
        <v>124</v>
      </c>
      <c r="E78" t="s">
        <v>155</v>
      </c>
      <c r="F78" t="s">
        <v>128</v>
      </c>
    </row>
    <row r="79" spans="1:6" x14ac:dyDescent="0.35">
      <c r="A79" t="s">
        <v>120</v>
      </c>
      <c r="B79" t="s">
        <v>152</v>
      </c>
      <c r="C79" t="s">
        <v>14</v>
      </c>
      <c r="D79" t="s">
        <v>125</v>
      </c>
      <c r="E79" t="s">
        <v>156</v>
      </c>
      <c r="F79" t="s">
        <v>128</v>
      </c>
    </row>
    <row r="80" spans="1:6" x14ac:dyDescent="0.35">
      <c r="A80" t="s">
        <v>120</v>
      </c>
      <c r="B80" t="s">
        <v>152</v>
      </c>
      <c r="C80" t="s">
        <v>14</v>
      </c>
      <c r="D80" t="s">
        <v>126</v>
      </c>
      <c r="E80" t="s">
        <v>157</v>
      </c>
      <c r="F80" t="s">
        <v>128</v>
      </c>
    </row>
    <row r="81" spans="1:6" x14ac:dyDescent="0.35">
      <c r="A81" t="s">
        <v>120</v>
      </c>
      <c r="B81" t="s">
        <v>152</v>
      </c>
      <c r="C81" t="s">
        <v>15</v>
      </c>
      <c r="D81" t="s">
        <v>158</v>
      </c>
      <c r="E81" t="s">
        <v>159</v>
      </c>
      <c r="F81" t="s">
        <v>59</v>
      </c>
    </row>
    <row r="82" spans="1:6" x14ac:dyDescent="0.35">
      <c r="A82" t="s">
        <v>120</v>
      </c>
      <c r="B82" t="s">
        <v>152</v>
      </c>
      <c r="C82" t="s">
        <v>15</v>
      </c>
      <c r="D82" t="s">
        <v>160</v>
      </c>
      <c r="E82">
        <v>1640.0786106854225</v>
      </c>
      <c r="F82" t="s">
        <v>59</v>
      </c>
    </row>
    <row r="83" spans="1:6" x14ac:dyDescent="0.35">
      <c r="A83" t="s">
        <v>120</v>
      </c>
      <c r="B83" t="s">
        <v>168</v>
      </c>
      <c r="C83" t="s">
        <v>14</v>
      </c>
      <c r="D83" t="s">
        <v>122</v>
      </c>
      <c r="E83" t="s">
        <v>162</v>
      </c>
      <c r="F83" t="s">
        <v>128</v>
      </c>
    </row>
    <row r="84" spans="1:6" x14ac:dyDescent="0.35">
      <c r="A84" t="s">
        <v>120</v>
      </c>
      <c r="B84" t="s">
        <v>168</v>
      </c>
      <c r="C84" t="s">
        <v>14</v>
      </c>
      <c r="D84" t="s">
        <v>123</v>
      </c>
      <c r="E84" t="s">
        <v>163</v>
      </c>
      <c r="F84" t="s">
        <v>128</v>
      </c>
    </row>
    <row r="85" spans="1:6" x14ac:dyDescent="0.35">
      <c r="A85" t="s">
        <v>120</v>
      </c>
      <c r="B85" t="s">
        <v>168</v>
      </c>
      <c r="C85" t="s">
        <v>14</v>
      </c>
      <c r="D85" t="s">
        <v>161</v>
      </c>
      <c r="E85" t="s">
        <v>164</v>
      </c>
      <c r="F85" t="s">
        <v>128</v>
      </c>
    </row>
    <row r="86" spans="1:6" x14ac:dyDescent="0.35">
      <c r="A86" t="s">
        <v>120</v>
      </c>
      <c r="B86" t="s">
        <v>168</v>
      </c>
      <c r="C86" t="s">
        <v>14</v>
      </c>
      <c r="D86" t="s">
        <v>124</v>
      </c>
      <c r="E86" t="s">
        <v>165</v>
      </c>
      <c r="F86" t="s">
        <v>128</v>
      </c>
    </row>
    <row r="87" spans="1:6" x14ac:dyDescent="0.35">
      <c r="A87" t="s">
        <v>120</v>
      </c>
      <c r="B87" t="s">
        <v>168</v>
      </c>
      <c r="C87" t="s">
        <v>14</v>
      </c>
      <c r="D87" t="s">
        <v>125</v>
      </c>
      <c r="E87" t="s">
        <v>166</v>
      </c>
      <c r="F87" t="s">
        <v>128</v>
      </c>
    </row>
    <row r="88" spans="1:6" x14ac:dyDescent="0.35">
      <c r="A88" t="s">
        <v>120</v>
      </c>
      <c r="B88" t="s">
        <v>168</v>
      </c>
      <c r="C88" t="s">
        <v>14</v>
      </c>
      <c r="D88" t="s">
        <v>126</v>
      </c>
      <c r="E88" t="s">
        <v>167</v>
      </c>
      <c r="F88" t="s">
        <v>128</v>
      </c>
    </row>
    <row r="89" spans="1:6" x14ac:dyDescent="0.35">
      <c r="A89" t="s">
        <v>120</v>
      </c>
      <c r="B89" t="s">
        <v>168</v>
      </c>
      <c r="C89" t="s">
        <v>15</v>
      </c>
      <c r="D89" t="s">
        <v>158</v>
      </c>
      <c r="E89" t="s">
        <v>169</v>
      </c>
      <c r="F89" t="s">
        <v>59</v>
      </c>
    </row>
    <row r="90" spans="1:6" x14ac:dyDescent="0.35">
      <c r="A90" t="s">
        <v>120</v>
      </c>
      <c r="B90" t="s">
        <v>178</v>
      </c>
      <c r="C90" t="s">
        <v>14</v>
      </c>
      <c r="D90" t="s">
        <v>122</v>
      </c>
      <c r="E90" t="s">
        <v>171</v>
      </c>
      <c r="F90" t="s">
        <v>128</v>
      </c>
    </row>
    <row r="91" spans="1:6" x14ac:dyDescent="0.35">
      <c r="A91" t="s">
        <v>120</v>
      </c>
      <c r="B91" t="s">
        <v>178</v>
      </c>
      <c r="C91" t="s">
        <v>14</v>
      </c>
      <c r="D91" t="s">
        <v>170</v>
      </c>
      <c r="E91" t="s">
        <v>172</v>
      </c>
      <c r="F91" t="s">
        <v>128</v>
      </c>
    </row>
    <row r="92" spans="1:6" x14ac:dyDescent="0.35">
      <c r="A92" t="s">
        <v>120</v>
      </c>
      <c r="B92" t="s">
        <v>178</v>
      </c>
      <c r="C92" t="s">
        <v>14</v>
      </c>
      <c r="D92" t="s">
        <v>124</v>
      </c>
      <c r="E92" t="s">
        <v>166</v>
      </c>
      <c r="F92" t="s">
        <v>128</v>
      </c>
    </row>
    <row r="93" spans="1:6" x14ac:dyDescent="0.35">
      <c r="A93" t="s">
        <v>120</v>
      </c>
      <c r="B93" t="s">
        <v>178</v>
      </c>
      <c r="C93" t="s">
        <v>15</v>
      </c>
      <c r="D93" t="s">
        <v>39</v>
      </c>
      <c r="E93" t="s">
        <v>175</v>
      </c>
      <c r="F93" t="s">
        <v>59</v>
      </c>
    </row>
    <row r="94" spans="1:6" x14ac:dyDescent="0.35">
      <c r="A94" t="s">
        <v>120</v>
      </c>
      <c r="B94" t="s">
        <v>178</v>
      </c>
      <c r="C94" t="s">
        <v>15</v>
      </c>
      <c r="D94" t="s">
        <v>173</v>
      </c>
      <c r="E94" t="s">
        <v>176</v>
      </c>
      <c r="F94" t="s">
        <v>59</v>
      </c>
    </row>
    <row r="95" spans="1:6" x14ac:dyDescent="0.35">
      <c r="A95" t="s">
        <v>120</v>
      </c>
      <c r="B95" t="s">
        <v>178</v>
      </c>
      <c r="C95" t="s">
        <v>15</v>
      </c>
      <c r="D95" t="s">
        <v>174</v>
      </c>
      <c r="E95" t="s">
        <v>177</v>
      </c>
      <c r="F95" t="s">
        <v>20</v>
      </c>
    </row>
    <row r="96" spans="1:6" x14ac:dyDescent="0.35">
      <c r="A96" t="s">
        <v>120</v>
      </c>
      <c r="B96" t="s">
        <v>185</v>
      </c>
      <c r="C96" t="s">
        <v>14</v>
      </c>
      <c r="D96" t="s">
        <v>122</v>
      </c>
      <c r="E96" t="s">
        <v>179</v>
      </c>
      <c r="F96" t="s">
        <v>128</v>
      </c>
    </row>
    <row r="97" spans="1:6" x14ac:dyDescent="0.35">
      <c r="A97" t="s">
        <v>120</v>
      </c>
      <c r="B97" t="s">
        <v>185</v>
      </c>
      <c r="C97" t="s">
        <v>14</v>
      </c>
      <c r="D97" t="s">
        <v>123</v>
      </c>
      <c r="E97" t="s">
        <v>180</v>
      </c>
      <c r="F97" t="s">
        <v>128</v>
      </c>
    </row>
    <row r="98" spans="1:6" x14ac:dyDescent="0.35">
      <c r="A98" t="s">
        <v>120</v>
      </c>
      <c r="B98" t="s">
        <v>185</v>
      </c>
      <c r="C98" t="s">
        <v>14</v>
      </c>
      <c r="D98" t="s">
        <v>124</v>
      </c>
      <c r="E98" t="s">
        <v>181</v>
      </c>
      <c r="F98" t="s">
        <v>128</v>
      </c>
    </row>
    <row r="99" spans="1:6" x14ac:dyDescent="0.35">
      <c r="A99" t="s">
        <v>120</v>
      </c>
      <c r="B99" t="s">
        <v>185</v>
      </c>
      <c r="C99" t="s">
        <v>14</v>
      </c>
      <c r="D99" t="s">
        <v>126</v>
      </c>
      <c r="E99" t="s">
        <v>182</v>
      </c>
      <c r="F99" t="s">
        <v>128</v>
      </c>
    </row>
    <row r="100" spans="1:6" x14ac:dyDescent="0.35">
      <c r="A100" t="s">
        <v>120</v>
      </c>
      <c r="B100" t="s">
        <v>185</v>
      </c>
      <c r="C100" t="s">
        <v>15</v>
      </c>
      <c r="D100" t="s">
        <v>39</v>
      </c>
      <c r="E100" t="s">
        <v>183</v>
      </c>
      <c r="F100" t="s">
        <v>59</v>
      </c>
    </row>
    <row r="101" spans="1:6" x14ac:dyDescent="0.35">
      <c r="A101" t="s">
        <v>120</v>
      </c>
      <c r="B101" t="s">
        <v>185</v>
      </c>
      <c r="C101" t="s">
        <v>15</v>
      </c>
      <c r="D101" t="s">
        <v>40</v>
      </c>
      <c r="E101">
        <v>0</v>
      </c>
      <c r="F101" t="s">
        <v>20</v>
      </c>
    </row>
    <row r="102" spans="1:6" x14ac:dyDescent="0.35">
      <c r="A102" t="s">
        <v>120</v>
      </c>
      <c r="B102" t="s">
        <v>185</v>
      </c>
      <c r="C102" t="s">
        <v>15</v>
      </c>
      <c r="D102" t="s">
        <v>184</v>
      </c>
      <c r="E102">
        <v>0</v>
      </c>
      <c r="F102" t="s">
        <v>59</v>
      </c>
    </row>
    <row r="103" spans="1:6" x14ac:dyDescent="0.35">
      <c r="A103" t="s">
        <v>120</v>
      </c>
      <c r="B103" t="s">
        <v>185</v>
      </c>
      <c r="C103" t="s">
        <v>15</v>
      </c>
      <c r="D103" t="s">
        <v>174</v>
      </c>
      <c r="E103">
        <v>0</v>
      </c>
      <c r="F103" t="s">
        <v>20</v>
      </c>
    </row>
    <row r="104" spans="1:6" x14ac:dyDescent="0.35">
      <c r="A104" t="s">
        <v>120</v>
      </c>
      <c r="B104" t="s">
        <v>186</v>
      </c>
      <c r="C104" t="s">
        <v>14</v>
      </c>
      <c r="D104" t="s">
        <v>122</v>
      </c>
      <c r="E104" t="s">
        <v>187</v>
      </c>
      <c r="F104" t="s">
        <v>128</v>
      </c>
    </row>
    <row r="105" spans="1:6" x14ac:dyDescent="0.35">
      <c r="A105" t="s">
        <v>120</v>
      </c>
      <c r="B105" t="s">
        <v>186</v>
      </c>
      <c r="C105" t="s">
        <v>14</v>
      </c>
      <c r="D105" t="s">
        <v>123</v>
      </c>
      <c r="E105" t="s">
        <v>188</v>
      </c>
      <c r="F105" t="s">
        <v>128</v>
      </c>
    </row>
    <row r="106" spans="1:6" x14ac:dyDescent="0.35">
      <c r="A106" t="s">
        <v>120</v>
      </c>
      <c r="B106" t="s">
        <v>186</v>
      </c>
      <c r="C106" t="s">
        <v>14</v>
      </c>
      <c r="D106" t="s">
        <v>124</v>
      </c>
      <c r="E106" t="s">
        <v>189</v>
      </c>
      <c r="F106" t="s">
        <v>128</v>
      </c>
    </row>
    <row r="107" spans="1:6" x14ac:dyDescent="0.35">
      <c r="A107" t="s">
        <v>120</v>
      </c>
      <c r="B107" t="s">
        <v>186</v>
      </c>
      <c r="C107" t="s">
        <v>14</v>
      </c>
      <c r="D107" t="s">
        <v>125</v>
      </c>
      <c r="E107" t="s">
        <v>190</v>
      </c>
      <c r="F107" t="s">
        <v>128</v>
      </c>
    </row>
    <row r="108" spans="1:6" x14ac:dyDescent="0.35">
      <c r="A108" t="s">
        <v>120</v>
      </c>
      <c r="B108" t="s">
        <v>186</v>
      </c>
      <c r="C108" t="s">
        <v>14</v>
      </c>
      <c r="D108" t="s">
        <v>126</v>
      </c>
      <c r="E108" t="s">
        <v>191</v>
      </c>
      <c r="F108" t="s">
        <v>128</v>
      </c>
    </row>
    <row r="109" spans="1:6" x14ac:dyDescent="0.35">
      <c r="A109" t="s">
        <v>120</v>
      </c>
      <c r="B109" t="s">
        <v>186</v>
      </c>
      <c r="C109" t="s">
        <v>15</v>
      </c>
      <c r="D109" t="s">
        <v>39</v>
      </c>
      <c r="E109" t="s">
        <v>192</v>
      </c>
      <c r="F109" t="s">
        <v>193</v>
      </c>
    </row>
    <row r="110" spans="1:6" x14ac:dyDescent="0.35">
      <c r="A110" t="s">
        <v>120</v>
      </c>
      <c r="B110" t="s">
        <v>194</v>
      </c>
      <c r="C110" t="s">
        <v>14</v>
      </c>
      <c r="D110" t="s">
        <v>122</v>
      </c>
      <c r="E110" t="s">
        <v>195</v>
      </c>
      <c r="F110" t="s">
        <v>128</v>
      </c>
    </row>
    <row r="111" spans="1:6" x14ac:dyDescent="0.35">
      <c r="A111" t="s">
        <v>120</v>
      </c>
      <c r="B111" t="s">
        <v>194</v>
      </c>
      <c r="C111" t="s">
        <v>14</v>
      </c>
      <c r="D111" t="s">
        <v>123</v>
      </c>
      <c r="E111" t="s">
        <v>196</v>
      </c>
      <c r="F111" t="s">
        <v>128</v>
      </c>
    </row>
    <row r="112" spans="1:6" x14ac:dyDescent="0.35">
      <c r="A112" t="s">
        <v>120</v>
      </c>
      <c r="B112" t="s">
        <v>194</v>
      </c>
      <c r="C112" t="s">
        <v>14</v>
      </c>
      <c r="D112" t="s">
        <v>124</v>
      </c>
      <c r="E112" t="s">
        <v>197</v>
      </c>
      <c r="F112" t="s">
        <v>128</v>
      </c>
    </row>
    <row r="113" spans="1:6" x14ac:dyDescent="0.35">
      <c r="A113" t="s">
        <v>120</v>
      </c>
      <c r="B113" t="s">
        <v>194</v>
      </c>
      <c r="C113" t="s">
        <v>14</v>
      </c>
      <c r="D113" t="s">
        <v>125</v>
      </c>
      <c r="E113" t="s">
        <v>198</v>
      </c>
      <c r="F113" t="s">
        <v>128</v>
      </c>
    </row>
    <row r="114" spans="1:6" x14ac:dyDescent="0.35">
      <c r="A114" t="s">
        <v>120</v>
      </c>
      <c r="B114" t="s">
        <v>194</v>
      </c>
      <c r="C114" t="s">
        <v>14</v>
      </c>
      <c r="D114" t="s">
        <v>126</v>
      </c>
      <c r="E114" t="s">
        <v>199</v>
      </c>
      <c r="F114" t="s">
        <v>128</v>
      </c>
    </row>
    <row r="115" spans="1:6" x14ac:dyDescent="0.35">
      <c r="A115" t="s">
        <v>120</v>
      </c>
      <c r="B115" t="s">
        <v>194</v>
      </c>
      <c r="C115" t="s">
        <v>15</v>
      </c>
      <c r="D115" t="s">
        <v>39</v>
      </c>
      <c r="E115" t="s">
        <v>201</v>
      </c>
      <c r="F115" t="s">
        <v>59</v>
      </c>
    </row>
    <row r="116" spans="1:6" x14ac:dyDescent="0.35">
      <c r="A116" t="s">
        <v>120</v>
      </c>
      <c r="B116" t="s">
        <v>194</v>
      </c>
      <c r="C116" t="s">
        <v>15</v>
      </c>
      <c r="D116" t="s">
        <v>200</v>
      </c>
      <c r="E116" t="s">
        <v>202</v>
      </c>
      <c r="F116" t="s">
        <v>59</v>
      </c>
    </row>
    <row r="117" spans="1:6" x14ac:dyDescent="0.35">
      <c r="A117" t="s">
        <v>120</v>
      </c>
      <c r="B117" t="s">
        <v>194</v>
      </c>
      <c r="C117" t="s">
        <v>15</v>
      </c>
      <c r="D117" t="s">
        <v>174</v>
      </c>
      <c r="E117" t="s">
        <v>203</v>
      </c>
      <c r="F117" t="s">
        <v>20</v>
      </c>
    </row>
    <row r="118" spans="1:6" x14ac:dyDescent="0.35">
      <c r="A118" t="s">
        <v>120</v>
      </c>
      <c r="B118" t="s">
        <v>204</v>
      </c>
      <c r="C118" t="s">
        <v>14</v>
      </c>
      <c r="D118" t="s">
        <v>122</v>
      </c>
      <c r="E118" t="s">
        <v>205</v>
      </c>
      <c r="F118" t="s">
        <v>128</v>
      </c>
    </row>
    <row r="119" spans="1:6" x14ac:dyDescent="0.35">
      <c r="A119" t="s">
        <v>120</v>
      </c>
      <c r="B119" t="s">
        <v>204</v>
      </c>
      <c r="C119" t="s">
        <v>14</v>
      </c>
      <c r="D119" t="s">
        <v>123</v>
      </c>
      <c r="E119" t="s">
        <v>206</v>
      </c>
      <c r="F119" t="s">
        <v>128</v>
      </c>
    </row>
    <row r="120" spans="1:6" x14ac:dyDescent="0.35">
      <c r="A120" t="s">
        <v>120</v>
      </c>
      <c r="B120" t="s">
        <v>204</v>
      </c>
      <c r="C120" t="s">
        <v>14</v>
      </c>
      <c r="D120" t="s">
        <v>124</v>
      </c>
      <c r="E120" t="s">
        <v>207</v>
      </c>
      <c r="F120" t="s">
        <v>128</v>
      </c>
    </row>
    <row r="121" spans="1:6" x14ac:dyDescent="0.35">
      <c r="A121" t="s">
        <v>120</v>
      </c>
      <c r="B121" t="s">
        <v>204</v>
      </c>
      <c r="C121" t="s">
        <v>14</v>
      </c>
      <c r="D121" t="s">
        <v>126</v>
      </c>
      <c r="E121" t="s">
        <v>208</v>
      </c>
      <c r="F121" t="s">
        <v>128</v>
      </c>
    </row>
    <row r="122" spans="1:6" x14ac:dyDescent="0.35">
      <c r="A122" t="s">
        <v>120</v>
      </c>
      <c r="B122" t="s">
        <v>204</v>
      </c>
      <c r="C122" t="s">
        <v>15</v>
      </c>
      <c r="D122" t="s">
        <v>133</v>
      </c>
      <c r="E122" t="s">
        <v>209</v>
      </c>
      <c r="F122" t="s">
        <v>59</v>
      </c>
    </row>
    <row r="123" spans="1:6" x14ac:dyDescent="0.35">
      <c r="A123" t="s">
        <v>210</v>
      </c>
      <c r="B123" t="s">
        <v>211</v>
      </c>
      <c r="C123" t="s">
        <v>14</v>
      </c>
      <c r="D123" t="s">
        <v>6</v>
      </c>
      <c r="E123" t="s">
        <v>212</v>
      </c>
      <c r="F123" t="s">
        <v>213</v>
      </c>
    </row>
    <row r="124" spans="1:6" x14ac:dyDescent="0.35">
      <c r="A124" t="s">
        <v>210</v>
      </c>
      <c r="B124" t="s">
        <v>211</v>
      </c>
      <c r="C124" t="s">
        <v>14</v>
      </c>
      <c r="D124" t="s">
        <v>10</v>
      </c>
      <c r="E124" t="s">
        <v>214</v>
      </c>
      <c r="F124" t="s">
        <v>213</v>
      </c>
    </row>
    <row r="125" spans="1:6" x14ac:dyDescent="0.35">
      <c r="A125" t="s">
        <v>210</v>
      </c>
      <c r="B125" t="s">
        <v>211</v>
      </c>
      <c r="C125" t="s">
        <v>15</v>
      </c>
      <c r="D125" t="s">
        <v>215</v>
      </c>
      <c r="E125">
        <v>229</v>
      </c>
      <c r="F125" t="s">
        <v>216</v>
      </c>
    </row>
    <row r="126" spans="1:6" x14ac:dyDescent="0.35">
      <c r="A126" t="s">
        <v>210</v>
      </c>
      <c r="B126" t="s">
        <v>211</v>
      </c>
      <c r="C126" t="s">
        <v>15</v>
      </c>
      <c r="D126" t="s">
        <v>173</v>
      </c>
      <c r="E126">
        <v>3727</v>
      </c>
      <c r="F126" t="s">
        <v>17</v>
      </c>
    </row>
    <row r="127" spans="1:6" x14ac:dyDescent="0.35">
      <c r="A127" t="s">
        <v>210</v>
      </c>
      <c r="B127" t="s">
        <v>221</v>
      </c>
      <c r="C127" t="s">
        <v>14</v>
      </c>
      <c r="D127" t="s">
        <v>6</v>
      </c>
      <c r="E127" t="s">
        <v>217</v>
      </c>
      <c r="F127" t="s">
        <v>213</v>
      </c>
    </row>
    <row r="128" spans="1:6" x14ac:dyDescent="0.35">
      <c r="A128" t="s">
        <v>210</v>
      </c>
      <c r="B128" t="s">
        <v>221</v>
      </c>
      <c r="C128" t="s">
        <v>14</v>
      </c>
      <c r="D128" t="s">
        <v>10</v>
      </c>
      <c r="E128" t="s">
        <v>218</v>
      </c>
      <c r="F128" t="s">
        <v>213</v>
      </c>
    </row>
    <row r="129" spans="1:8" x14ac:dyDescent="0.35">
      <c r="A129" t="s">
        <v>210</v>
      </c>
      <c r="B129" t="s">
        <v>221</v>
      </c>
      <c r="C129" t="s">
        <v>15</v>
      </c>
      <c r="D129" t="s">
        <v>215</v>
      </c>
      <c r="E129">
        <v>105</v>
      </c>
      <c r="F129" t="s">
        <v>216</v>
      </c>
    </row>
    <row r="130" spans="1:8" x14ac:dyDescent="0.35">
      <c r="A130" t="s">
        <v>210</v>
      </c>
      <c r="B130" t="s">
        <v>221</v>
      </c>
      <c r="C130" t="s">
        <v>15</v>
      </c>
      <c r="D130" t="s">
        <v>40</v>
      </c>
      <c r="E130">
        <v>104</v>
      </c>
      <c r="F130" t="s">
        <v>34</v>
      </c>
    </row>
    <row r="131" spans="1:8" x14ac:dyDescent="0.35">
      <c r="A131" t="s">
        <v>210</v>
      </c>
      <c r="B131" t="s">
        <v>221</v>
      </c>
      <c r="C131" t="s">
        <v>15</v>
      </c>
      <c r="D131" t="s">
        <v>174</v>
      </c>
      <c r="E131" t="s">
        <v>220</v>
      </c>
      <c r="F131" t="s">
        <v>20</v>
      </c>
    </row>
    <row r="132" spans="1:8" x14ac:dyDescent="0.35">
      <c r="A132" t="s">
        <v>210</v>
      </c>
      <c r="B132" t="s">
        <v>221</v>
      </c>
      <c r="C132" t="s">
        <v>15</v>
      </c>
      <c r="D132" t="s">
        <v>219</v>
      </c>
      <c r="E132">
        <v>120.49180327868852</v>
      </c>
      <c r="F132" t="s">
        <v>17</v>
      </c>
    </row>
    <row r="133" spans="1:8" x14ac:dyDescent="0.35">
      <c r="A133" t="s">
        <v>210</v>
      </c>
      <c r="B133" t="s">
        <v>225</v>
      </c>
      <c r="C133" t="s">
        <v>14</v>
      </c>
      <c r="D133" t="s">
        <v>6</v>
      </c>
      <c r="E133" t="s">
        <v>222</v>
      </c>
      <c r="F133" t="s">
        <v>213</v>
      </c>
    </row>
    <row r="134" spans="1:8" x14ac:dyDescent="0.35">
      <c r="A134" t="s">
        <v>210</v>
      </c>
      <c r="B134" t="s">
        <v>225</v>
      </c>
      <c r="C134" t="s">
        <v>14</v>
      </c>
      <c r="D134" t="s">
        <v>10</v>
      </c>
      <c r="E134" t="s">
        <v>223</v>
      </c>
      <c r="F134" t="s">
        <v>213</v>
      </c>
    </row>
    <row r="135" spans="1:8" x14ac:dyDescent="0.35">
      <c r="A135" t="s">
        <v>210</v>
      </c>
      <c r="B135" t="s">
        <v>225</v>
      </c>
      <c r="C135" t="s">
        <v>15</v>
      </c>
      <c r="D135" t="s">
        <v>215</v>
      </c>
      <c r="E135">
        <v>5</v>
      </c>
      <c r="F135" t="s">
        <v>216</v>
      </c>
    </row>
    <row r="136" spans="1:8" x14ac:dyDescent="0.35">
      <c r="A136" t="s">
        <v>210</v>
      </c>
      <c r="B136" t="s">
        <v>225</v>
      </c>
      <c r="C136" t="s">
        <v>15</v>
      </c>
      <c r="D136" t="s">
        <v>224</v>
      </c>
      <c r="E136">
        <v>29</v>
      </c>
      <c r="F136" t="s">
        <v>34</v>
      </c>
    </row>
    <row r="137" spans="1:8" x14ac:dyDescent="0.35">
      <c r="A137" t="s">
        <v>210</v>
      </c>
      <c r="B137" t="s">
        <v>226</v>
      </c>
      <c r="C137" t="s">
        <v>14</v>
      </c>
      <c r="D137" t="s">
        <v>6</v>
      </c>
      <c r="E137" t="s">
        <v>227</v>
      </c>
      <c r="F137" t="s">
        <v>213</v>
      </c>
    </row>
    <row r="138" spans="1:8" x14ac:dyDescent="0.35">
      <c r="A138" t="s">
        <v>210</v>
      </c>
      <c r="B138" t="s">
        <v>226</v>
      </c>
      <c r="C138" t="s">
        <v>14</v>
      </c>
      <c r="D138" t="s">
        <v>10</v>
      </c>
      <c r="E138" t="s">
        <v>228</v>
      </c>
      <c r="F138" t="s">
        <v>213</v>
      </c>
    </row>
    <row r="139" spans="1:8" x14ac:dyDescent="0.35">
      <c r="A139" s="3" t="s">
        <v>210</v>
      </c>
      <c r="B139" s="3" t="s">
        <v>226</v>
      </c>
      <c r="C139" s="3" t="s">
        <v>14</v>
      </c>
      <c r="D139" s="3" t="s">
        <v>333</v>
      </c>
      <c r="E139" s="3">
        <v>1.1200000000000001</v>
      </c>
      <c r="F139" s="3" t="s">
        <v>213</v>
      </c>
      <c r="G139" s="3"/>
      <c r="H139" s="3"/>
    </row>
    <row r="140" spans="1:8" x14ac:dyDescent="0.35">
      <c r="A140" t="s">
        <v>210</v>
      </c>
      <c r="B140" t="s">
        <v>226</v>
      </c>
      <c r="C140" t="s">
        <v>15</v>
      </c>
      <c r="D140" t="s">
        <v>215</v>
      </c>
      <c r="E140">
        <v>41</v>
      </c>
      <c r="F140" t="s">
        <v>216</v>
      </c>
    </row>
    <row r="141" spans="1:8" x14ac:dyDescent="0.35">
      <c r="A141" t="s">
        <v>210</v>
      </c>
      <c r="B141" t="s">
        <v>226</v>
      </c>
      <c r="C141" t="s">
        <v>15</v>
      </c>
      <c r="D141" t="s">
        <v>229</v>
      </c>
      <c r="E141">
        <v>43</v>
      </c>
      <c r="F141" t="s">
        <v>216</v>
      </c>
    </row>
    <row r="142" spans="1:8" x14ac:dyDescent="0.35">
      <c r="A142" t="s">
        <v>210</v>
      </c>
      <c r="B142" t="s">
        <v>226</v>
      </c>
      <c r="C142" t="s">
        <v>15</v>
      </c>
      <c r="D142" t="s">
        <v>174</v>
      </c>
      <c r="E142" t="s">
        <v>230</v>
      </c>
      <c r="F142" t="s">
        <v>231</v>
      </c>
    </row>
    <row r="143" spans="1:8" x14ac:dyDescent="0.35">
      <c r="A143" t="s">
        <v>210</v>
      </c>
      <c r="B143" t="s">
        <v>226</v>
      </c>
      <c r="C143" t="s">
        <v>15</v>
      </c>
      <c r="D143" t="s">
        <v>40</v>
      </c>
      <c r="E143">
        <v>41353.448275862072</v>
      </c>
      <c r="F143" t="s">
        <v>20</v>
      </c>
    </row>
    <row r="144" spans="1:8" x14ac:dyDescent="0.35">
      <c r="A144" t="s">
        <v>232</v>
      </c>
      <c r="B144" t="s">
        <v>233</v>
      </c>
      <c r="C144" t="s">
        <v>14</v>
      </c>
      <c r="D144" t="s">
        <v>234</v>
      </c>
      <c r="E144" t="s">
        <v>236</v>
      </c>
      <c r="F144" t="s">
        <v>9</v>
      </c>
    </row>
    <row r="145" spans="1:6" x14ac:dyDescent="0.35">
      <c r="A145" t="s">
        <v>232</v>
      </c>
      <c r="B145" t="s">
        <v>233</v>
      </c>
      <c r="C145" t="s">
        <v>14</v>
      </c>
      <c r="D145" t="s">
        <v>235</v>
      </c>
      <c r="E145" t="s">
        <v>237</v>
      </c>
      <c r="F145" t="s">
        <v>9</v>
      </c>
    </row>
    <row r="146" spans="1:6" x14ac:dyDescent="0.35">
      <c r="A146" t="s">
        <v>232</v>
      </c>
      <c r="B146" t="s">
        <v>233</v>
      </c>
      <c r="C146" t="s">
        <v>15</v>
      </c>
      <c r="D146" t="s">
        <v>238</v>
      </c>
      <c r="E146" t="s">
        <v>240</v>
      </c>
      <c r="F146" t="s">
        <v>59</v>
      </c>
    </row>
    <row r="147" spans="1:6" x14ac:dyDescent="0.35">
      <c r="A147" t="s">
        <v>232</v>
      </c>
      <c r="B147" t="s">
        <v>233</v>
      </c>
      <c r="C147" t="s">
        <v>15</v>
      </c>
      <c r="D147" t="s">
        <v>239</v>
      </c>
      <c r="E147" t="s">
        <v>241</v>
      </c>
      <c r="F147" t="s">
        <v>59</v>
      </c>
    </row>
    <row r="148" spans="1:6" x14ac:dyDescent="0.35">
      <c r="A148" t="s">
        <v>232</v>
      </c>
      <c r="B148" t="s">
        <v>242</v>
      </c>
      <c r="C148" t="s">
        <v>14</v>
      </c>
      <c r="D148" t="s">
        <v>234</v>
      </c>
      <c r="E148" t="s">
        <v>243</v>
      </c>
      <c r="F148" t="s">
        <v>9</v>
      </c>
    </row>
    <row r="149" spans="1:6" x14ac:dyDescent="0.35">
      <c r="A149" t="s">
        <v>232</v>
      </c>
      <c r="B149" t="s">
        <v>242</v>
      </c>
      <c r="C149" t="s">
        <v>14</v>
      </c>
      <c r="D149" t="s">
        <v>235</v>
      </c>
      <c r="E149" t="s">
        <v>244</v>
      </c>
      <c r="F149" t="s">
        <v>9</v>
      </c>
    </row>
    <row r="150" spans="1:6" x14ac:dyDescent="0.35">
      <c r="A150" t="s">
        <v>232</v>
      </c>
      <c r="B150" t="s">
        <v>242</v>
      </c>
      <c r="C150" t="s">
        <v>15</v>
      </c>
      <c r="D150" t="s">
        <v>245</v>
      </c>
      <c r="E150" t="s">
        <v>248</v>
      </c>
      <c r="F150" t="s">
        <v>59</v>
      </c>
    </row>
    <row r="151" spans="1:6" x14ac:dyDescent="0.35">
      <c r="A151" t="s">
        <v>232</v>
      </c>
      <c r="B151" t="s">
        <v>242</v>
      </c>
      <c r="C151" t="s">
        <v>15</v>
      </c>
      <c r="D151" t="s">
        <v>246</v>
      </c>
      <c r="E151" t="s">
        <v>249</v>
      </c>
      <c r="F151" t="s">
        <v>59</v>
      </c>
    </row>
    <row r="152" spans="1:6" x14ac:dyDescent="0.35">
      <c r="A152" t="s">
        <v>232</v>
      </c>
      <c r="B152" t="s">
        <v>242</v>
      </c>
      <c r="C152" t="s">
        <v>15</v>
      </c>
      <c r="D152" t="s">
        <v>247</v>
      </c>
      <c r="E152" t="s">
        <v>250</v>
      </c>
      <c r="F152" t="s">
        <v>59</v>
      </c>
    </row>
    <row r="153" spans="1:6" x14ac:dyDescent="0.35">
      <c r="A153" t="s">
        <v>232</v>
      </c>
      <c r="B153" t="s">
        <v>242</v>
      </c>
      <c r="C153" t="s">
        <v>15</v>
      </c>
      <c r="D153" t="s">
        <v>40</v>
      </c>
      <c r="E153" t="s">
        <v>251</v>
      </c>
      <c r="F153" t="s">
        <v>252</v>
      </c>
    </row>
    <row r="154" spans="1:6" x14ac:dyDescent="0.35">
      <c r="A154" t="s">
        <v>232</v>
      </c>
      <c r="B154" t="s">
        <v>242</v>
      </c>
      <c r="C154" t="s">
        <v>15</v>
      </c>
      <c r="D154" t="s">
        <v>174</v>
      </c>
      <c r="E154" t="s">
        <v>253</v>
      </c>
      <c r="F154" t="s">
        <v>252</v>
      </c>
    </row>
    <row r="155" spans="1:6" x14ac:dyDescent="0.35">
      <c r="A155" t="s">
        <v>232</v>
      </c>
      <c r="B155" t="s">
        <v>254</v>
      </c>
      <c r="C155" t="s">
        <v>14</v>
      </c>
      <c r="D155" t="s">
        <v>234</v>
      </c>
      <c r="E155" t="s">
        <v>262</v>
      </c>
      <c r="F155" t="s">
        <v>9</v>
      </c>
    </row>
    <row r="156" spans="1:6" x14ac:dyDescent="0.35">
      <c r="A156" t="s">
        <v>232</v>
      </c>
      <c r="B156" t="s">
        <v>254</v>
      </c>
      <c r="C156" t="s">
        <v>14</v>
      </c>
      <c r="D156" t="s">
        <v>255</v>
      </c>
      <c r="E156" t="s">
        <v>263</v>
      </c>
      <c r="F156" t="s">
        <v>9</v>
      </c>
    </row>
    <row r="157" spans="1:6" x14ac:dyDescent="0.35">
      <c r="A157" t="s">
        <v>232</v>
      </c>
      <c r="B157" t="s">
        <v>254</v>
      </c>
      <c r="C157" t="s">
        <v>15</v>
      </c>
      <c r="D157" t="s">
        <v>379</v>
      </c>
      <c r="E157">
        <v>302033</v>
      </c>
      <c r="F157" t="s">
        <v>59</v>
      </c>
    </row>
    <row r="158" spans="1:6" x14ac:dyDescent="0.35">
      <c r="A158" t="s">
        <v>232</v>
      </c>
      <c r="B158" t="s">
        <v>254</v>
      </c>
      <c r="C158" t="s">
        <v>15</v>
      </c>
      <c r="D158" t="s">
        <v>256</v>
      </c>
      <c r="E158" t="s">
        <v>259</v>
      </c>
      <c r="F158" t="s">
        <v>252</v>
      </c>
    </row>
    <row r="159" spans="1:6" x14ac:dyDescent="0.35">
      <c r="A159" t="s">
        <v>232</v>
      </c>
      <c r="B159" t="s">
        <v>254</v>
      </c>
      <c r="C159" t="s">
        <v>15</v>
      </c>
      <c r="D159" t="s">
        <v>257</v>
      </c>
      <c r="E159" t="s">
        <v>260</v>
      </c>
      <c r="F159" t="s">
        <v>252</v>
      </c>
    </row>
    <row r="160" spans="1:6" x14ac:dyDescent="0.35">
      <c r="A160" t="s">
        <v>232</v>
      </c>
      <c r="B160" t="s">
        <v>254</v>
      </c>
      <c r="C160" t="s">
        <v>15</v>
      </c>
      <c r="D160" t="s">
        <v>258</v>
      </c>
      <c r="E160" t="s">
        <v>261</v>
      </c>
      <c r="F160" t="s">
        <v>59</v>
      </c>
    </row>
    <row r="161" spans="1:6" x14ac:dyDescent="0.35">
      <c r="A161" t="s">
        <v>264</v>
      </c>
      <c r="B161" t="s">
        <v>265</v>
      </c>
      <c r="C161" t="s">
        <v>14</v>
      </c>
      <c r="D161" t="s">
        <v>6</v>
      </c>
      <c r="E161" t="s">
        <v>266</v>
      </c>
      <c r="F161" t="s">
        <v>267</v>
      </c>
    </row>
    <row r="162" spans="1:6" x14ac:dyDescent="0.35">
      <c r="A162" t="s">
        <v>264</v>
      </c>
      <c r="B162" t="s">
        <v>265</v>
      </c>
      <c r="C162" t="s">
        <v>14</v>
      </c>
      <c r="D162" t="s">
        <v>268</v>
      </c>
      <c r="E162" t="s">
        <v>269</v>
      </c>
      <c r="F162" t="s">
        <v>270</v>
      </c>
    </row>
    <row r="163" spans="1:6" x14ac:dyDescent="0.35">
      <c r="A163" t="s">
        <v>264</v>
      </c>
      <c r="B163" t="s">
        <v>265</v>
      </c>
      <c r="C163" t="s">
        <v>15</v>
      </c>
      <c r="D163" t="s">
        <v>271</v>
      </c>
      <c r="E163" t="s">
        <v>274</v>
      </c>
      <c r="F163" t="s">
        <v>59</v>
      </c>
    </row>
    <row r="164" spans="1:6" x14ac:dyDescent="0.35">
      <c r="A164" t="s">
        <v>264</v>
      </c>
      <c r="B164" t="s">
        <v>265</v>
      </c>
      <c r="C164" t="s">
        <v>15</v>
      </c>
      <c r="D164" t="s">
        <v>272</v>
      </c>
      <c r="E164" t="s">
        <v>275</v>
      </c>
      <c r="F164" t="s">
        <v>59</v>
      </c>
    </row>
    <row r="165" spans="1:6" x14ac:dyDescent="0.35">
      <c r="A165" t="s">
        <v>264</v>
      </c>
      <c r="B165" t="s">
        <v>265</v>
      </c>
      <c r="C165" t="s">
        <v>15</v>
      </c>
      <c r="D165" t="s">
        <v>40</v>
      </c>
      <c r="E165">
        <v>13999</v>
      </c>
      <c r="F165" t="s">
        <v>20</v>
      </c>
    </row>
    <row r="166" spans="1:6" x14ac:dyDescent="0.35">
      <c r="A166" t="s">
        <v>264</v>
      </c>
      <c r="B166" t="s">
        <v>265</v>
      </c>
      <c r="C166" t="s">
        <v>15</v>
      </c>
      <c r="D166" t="s">
        <v>174</v>
      </c>
      <c r="E166" t="s">
        <v>276</v>
      </c>
      <c r="F166" t="s">
        <v>20</v>
      </c>
    </row>
    <row r="167" spans="1:6" x14ac:dyDescent="0.35">
      <c r="A167" t="s">
        <v>264</v>
      </c>
      <c r="B167" t="s">
        <v>265</v>
      </c>
      <c r="C167" t="s">
        <v>15</v>
      </c>
      <c r="D167" t="s">
        <v>273</v>
      </c>
      <c r="E167" t="s">
        <v>277</v>
      </c>
      <c r="F167" t="s">
        <v>59</v>
      </c>
    </row>
    <row r="168" spans="1:6" x14ac:dyDescent="0.35">
      <c r="A168" t="s">
        <v>278</v>
      </c>
      <c r="B168" t="s">
        <v>279</v>
      </c>
      <c r="C168" t="s">
        <v>14</v>
      </c>
      <c r="D168" t="s">
        <v>53</v>
      </c>
      <c r="E168" t="s">
        <v>280</v>
      </c>
      <c r="F168" t="s">
        <v>95</v>
      </c>
    </row>
    <row r="169" spans="1:6" x14ac:dyDescent="0.35">
      <c r="A169" t="s">
        <v>278</v>
      </c>
      <c r="B169" t="s">
        <v>279</v>
      </c>
      <c r="C169" t="s">
        <v>14</v>
      </c>
      <c r="D169" t="s">
        <v>107</v>
      </c>
      <c r="E169" t="s">
        <v>281</v>
      </c>
      <c r="F169" t="s">
        <v>282</v>
      </c>
    </row>
    <row r="170" spans="1:6" x14ac:dyDescent="0.35">
      <c r="A170" t="s">
        <v>278</v>
      </c>
      <c r="B170" t="s">
        <v>279</v>
      </c>
      <c r="C170" t="s">
        <v>14</v>
      </c>
      <c r="D170" t="s">
        <v>283</v>
      </c>
      <c r="E170" t="s">
        <v>284</v>
      </c>
      <c r="F170" t="s">
        <v>282</v>
      </c>
    </row>
    <row r="171" spans="1:6" x14ac:dyDescent="0.35">
      <c r="A171" t="s">
        <v>278</v>
      </c>
      <c r="B171" t="s">
        <v>279</v>
      </c>
      <c r="C171" t="s">
        <v>15</v>
      </c>
      <c r="D171" t="s">
        <v>239</v>
      </c>
      <c r="E171">
        <v>19045</v>
      </c>
      <c r="F171" t="s">
        <v>285</v>
      </c>
    </row>
    <row r="172" spans="1:6" x14ac:dyDescent="0.35">
      <c r="A172" t="s">
        <v>286</v>
      </c>
      <c r="B172" t="s">
        <v>287</v>
      </c>
      <c r="C172" t="s">
        <v>14</v>
      </c>
      <c r="D172" t="s">
        <v>288</v>
      </c>
      <c r="E172" t="s">
        <v>290</v>
      </c>
      <c r="F172" t="s">
        <v>9</v>
      </c>
    </row>
    <row r="173" spans="1:6" x14ac:dyDescent="0.35">
      <c r="A173" t="s">
        <v>286</v>
      </c>
      <c r="B173" t="s">
        <v>287</v>
      </c>
      <c r="C173" t="s">
        <v>14</v>
      </c>
      <c r="D173" t="s">
        <v>289</v>
      </c>
      <c r="E173">
        <v>0</v>
      </c>
      <c r="F173" t="s">
        <v>291</v>
      </c>
    </row>
    <row r="174" spans="1:6" x14ac:dyDescent="0.35">
      <c r="A174" t="s">
        <v>286</v>
      </c>
      <c r="B174" t="s">
        <v>287</v>
      </c>
      <c r="C174" t="s">
        <v>15</v>
      </c>
      <c r="D174" t="s">
        <v>292</v>
      </c>
      <c r="E174">
        <v>312000000</v>
      </c>
      <c r="F174" t="s">
        <v>387</v>
      </c>
    </row>
    <row r="175" spans="1:6" x14ac:dyDescent="0.35">
      <c r="A175" t="s">
        <v>286</v>
      </c>
      <c r="B175" t="s">
        <v>287</v>
      </c>
      <c r="C175" t="s">
        <v>15</v>
      </c>
      <c r="D175" t="s">
        <v>40</v>
      </c>
      <c r="E175" t="s">
        <v>293</v>
      </c>
      <c r="F175" t="s">
        <v>20</v>
      </c>
    </row>
    <row r="176" spans="1:6" x14ac:dyDescent="0.35">
      <c r="A176" t="s">
        <v>286</v>
      </c>
      <c r="B176" t="s">
        <v>287</v>
      </c>
      <c r="C176" t="s">
        <v>15</v>
      </c>
      <c r="D176" t="s">
        <v>174</v>
      </c>
      <c r="E176">
        <v>1369900</v>
      </c>
      <c r="F176" t="s">
        <v>20</v>
      </c>
    </row>
    <row r="177" spans="1:6" x14ac:dyDescent="0.35">
      <c r="A177" t="s">
        <v>294</v>
      </c>
      <c r="B177" t="s">
        <v>294</v>
      </c>
      <c r="C177" t="s">
        <v>14</v>
      </c>
      <c r="D177" t="s">
        <v>295</v>
      </c>
      <c r="E177" t="s">
        <v>297</v>
      </c>
      <c r="F177" t="s">
        <v>298</v>
      </c>
    </row>
    <row r="178" spans="1:6" x14ac:dyDescent="0.35">
      <c r="A178" t="s">
        <v>294</v>
      </c>
      <c r="B178" t="s">
        <v>294</v>
      </c>
      <c r="C178" t="s">
        <v>14</v>
      </c>
      <c r="D178" t="s">
        <v>296</v>
      </c>
      <c r="E178" t="s">
        <v>299</v>
      </c>
      <c r="F178" t="s">
        <v>300</v>
      </c>
    </row>
    <row r="179" spans="1:6" x14ac:dyDescent="0.35">
      <c r="A179" t="s">
        <v>294</v>
      </c>
      <c r="B179" t="s">
        <v>294</v>
      </c>
      <c r="C179" t="s">
        <v>15</v>
      </c>
      <c r="D179" t="s">
        <v>388</v>
      </c>
      <c r="E179">
        <v>101959</v>
      </c>
      <c r="F179" t="s">
        <v>59</v>
      </c>
    </row>
    <row r="180" spans="1:6" x14ac:dyDescent="0.35">
      <c r="A180" t="s">
        <v>294</v>
      </c>
      <c r="B180" t="s">
        <v>294</v>
      </c>
      <c r="C180" t="s">
        <v>15</v>
      </c>
      <c r="D180" t="s">
        <v>173</v>
      </c>
      <c r="E180">
        <v>12413</v>
      </c>
      <c r="F180" t="s">
        <v>59</v>
      </c>
    </row>
    <row r="181" spans="1:6" x14ac:dyDescent="0.35">
      <c r="A181" t="s">
        <v>294</v>
      </c>
      <c r="B181" t="s">
        <v>294</v>
      </c>
      <c r="C181" t="s">
        <v>15</v>
      </c>
      <c r="D181" t="s">
        <v>301</v>
      </c>
      <c r="E181" t="s">
        <v>302</v>
      </c>
      <c r="F181" t="s">
        <v>20</v>
      </c>
    </row>
    <row r="182" spans="1:6" x14ac:dyDescent="0.35">
      <c r="A182" t="s">
        <v>303</v>
      </c>
      <c r="B182" t="s">
        <v>304</v>
      </c>
      <c r="C182" t="s">
        <v>14</v>
      </c>
      <c r="D182" t="s">
        <v>305</v>
      </c>
      <c r="E182" t="s">
        <v>310</v>
      </c>
      <c r="F182" t="s">
        <v>9</v>
      </c>
    </row>
    <row r="183" spans="1:6" x14ac:dyDescent="0.35">
      <c r="A183" t="s">
        <v>303</v>
      </c>
      <c r="B183" t="s">
        <v>304</v>
      </c>
      <c r="C183" t="s">
        <v>14</v>
      </c>
      <c r="D183" t="s">
        <v>306</v>
      </c>
      <c r="E183" t="s">
        <v>311</v>
      </c>
      <c r="F183" t="s">
        <v>9</v>
      </c>
    </row>
    <row r="184" spans="1:6" x14ac:dyDescent="0.35">
      <c r="A184" t="s">
        <v>303</v>
      </c>
      <c r="B184" t="s">
        <v>304</v>
      </c>
      <c r="C184" t="s">
        <v>14</v>
      </c>
      <c r="D184" t="s">
        <v>307</v>
      </c>
      <c r="E184" t="s">
        <v>312</v>
      </c>
      <c r="F184" t="s">
        <v>9</v>
      </c>
    </row>
    <row r="185" spans="1:6" x14ac:dyDescent="0.35">
      <c r="A185" t="s">
        <v>303</v>
      </c>
      <c r="B185" t="s">
        <v>304</v>
      </c>
      <c r="C185" t="s">
        <v>14</v>
      </c>
      <c r="D185" t="s">
        <v>308</v>
      </c>
      <c r="E185" t="s">
        <v>313</v>
      </c>
      <c r="F185" t="s">
        <v>9</v>
      </c>
    </row>
    <row r="186" spans="1:6" x14ac:dyDescent="0.35">
      <c r="A186" t="s">
        <v>303</v>
      </c>
      <c r="B186" t="s">
        <v>304</v>
      </c>
      <c r="C186" t="s">
        <v>14</v>
      </c>
      <c r="D186" t="s">
        <v>309</v>
      </c>
      <c r="E186" t="s">
        <v>314</v>
      </c>
      <c r="F186" t="s">
        <v>9</v>
      </c>
    </row>
    <row r="187" spans="1:6" x14ac:dyDescent="0.35">
      <c r="A187" t="s">
        <v>303</v>
      </c>
      <c r="B187" t="s">
        <v>304</v>
      </c>
      <c r="C187" t="s">
        <v>15</v>
      </c>
      <c r="D187" t="s">
        <v>315</v>
      </c>
      <c r="E187">
        <v>123</v>
      </c>
      <c r="F187" t="s">
        <v>389</v>
      </c>
    </row>
    <row r="188" spans="1:6" x14ac:dyDescent="0.35">
      <c r="A188" t="s">
        <v>303</v>
      </c>
      <c r="B188" t="s">
        <v>304</v>
      </c>
      <c r="C188" t="s">
        <v>15</v>
      </c>
      <c r="D188" t="s">
        <v>316</v>
      </c>
      <c r="E188">
        <v>1.2</v>
      </c>
      <c r="F188" t="s">
        <v>389</v>
      </c>
    </row>
    <row r="189" spans="1:6" x14ac:dyDescent="0.35">
      <c r="A189" t="s">
        <v>380</v>
      </c>
      <c r="B189" t="s">
        <v>381</v>
      </c>
      <c r="C189" t="s">
        <v>14</v>
      </c>
      <c r="D189" t="s">
        <v>106</v>
      </c>
      <c r="E189">
        <v>404788</v>
      </c>
      <c r="F189" t="s">
        <v>382</v>
      </c>
    </row>
    <row r="190" spans="1:6" x14ac:dyDescent="0.35">
      <c r="A190" t="s">
        <v>380</v>
      </c>
      <c r="B190" t="s">
        <v>381</v>
      </c>
      <c r="C190" t="s">
        <v>14</v>
      </c>
      <c r="D190" t="s">
        <v>383</v>
      </c>
      <c r="E190">
        <v>1896</v>
      </c>
      <c r="F190" t="s">
        <v>382</v>
      </c>
    </row>
    <row r="191" spans="1:6" x14ac:dyDescent="0.35">
      <c r="A191" t="s">
        <v>380</v>
      </c>
      <c r="B191" t="s">
        <v>381</v>
      </c>
      <c r="C191" t="s">
        <v>14</v>
      </c>
      <c r="D191" t="s">
        <v>384</v>
      </c>
      <c r="E191">
        <v>107922</v>
      </c>
      <c r="F191" t="s">
        <v>285</v>
      </c>
    </row>
    <row r="192" spans="1:6" x14ac:dyDescent="0.35">
      <c r="A192" t="s">
        <v>380</v>
      </c>
      <c r="B192" t="s">
        <v>381</v>
      </c>
      <c r="C192" t="s">
        <v>14</v>
      </c>
      <c r="D192" t="s">
        <v>385</v>
      </c>
      <c r="E192">
        <v>39314</v>
      </c>
      <c r="F192" t="s">
        <v>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8150-6909-4C39-BD69-9675D6609C60}">
  <dimension ref="A1:G23"/>
  <sheetViews>
    <sheetView zoomScale="80" zoomScaleNormal="80" workbookViewId="0">
      <selection activeCell="O29" sqref="O29"/>
    </sheetView>
  </sheetViews>
  <sheetFormatPr baseColWidth="10" defaultRowHeight="14.5" x14ac:dyDescent="0.35"/>
  <cols>
    <col min="1" max="1" width="14.81640625" customWidth="1"/>
    <col min="3" max="3" width="13.453125" customWidth="1"/>
  </cols>
  <sheetData>
    <row r="1" spans="1:7" x14ac:dyDescent="0.35">
      <c r="A1" s="1" t="s">
        <v>322</v>
      </c>
    </row>
    <row r="2" spans="1:7" x14ac:dyDescent="0.35">
      <c r="A2" t="s">
        <v>326</v>
      </c>
      <c r="B2">
        <v>1</v>
      </c>
      <c r="C2" t="s">
        <v>95</v>
      </c>
      <c r="D2">
        <v>3.5999999999999999E-3</v>
      </c>
      <c r="E2" t="s">
        <v>9</v>
      </c>
    </row>
    <row r="3" spans="1:7" x14ac:dyDescent="0.35">
      <c r="A3" t="s">
        <v>326</v>
      </c>
      <c r="B3">
        <v>1</v>
      </c>
      <c r="C3" t="s">
        <v>20</v>
      </c>
      <c r="D3" s="5">
        <v>2.83495E-5</v>
      </c>
      <c r="E3" t="s">
        <v>17</v>
      </c>
    </row>
    <row r="4" spans="1:7" x14ac:dyDescent="0.35">
      <c r="A4" t="s">
        <v>326</v>
      </c>
      <c r="B4">
        <v>1</v>
      </c>
      <c r="C4" t="s">
        <v>386</v>
      </c>
      <c r="D4" s="5">
        <v>0.45359237000000002</v>
      </c>
      <c r="E4" t="s">
        <v>331</v>
      </c>
    </row>
    <row r="5" spans="1:7" x14ac:dyDescent="0.35">
      <c r="A5" t="s">
        <v>106</v>
      </c>
      <c r="B5">
        <v>1</v>
      </c>
      <c r="C5" t="s">
        <v>327</v>
      </c>
      <c r="D5">
        <v>38.6</v>
      </c>
      <c r="E5" t="s">
        <v>325</v>
      </c>
      <c r="F5" t="s">
        <v>328</v>
      </c>
      <c r="G5" t="s">
        <v>332</v>
      </c>
    </row>
    <row r="6" spans="1:7" x14ac:dyDescent="0.35">
      <c r="A6" t="s">
        <v>106</v>
      </c>
      <c r="B6">
        <v>1</v>
      </c>
      <c r="C6" t="s">
        <v>17</v>
      </c>
      <c r="D6">
        <v>1.1399999999999999</v>
      </c>
      <c r="E6" t="s">
        <v>329</v>
      </c>
      <c r="F6" t="s">
        <v>328</v>
      </c>
      <c r="G6" t="s">
        <v>330</v>
      </c>
    </row>
    <row r="7" spans="1:7" x14ac:dyDescent="0.35">
      <c r="A7" t="s">
        <v>106</v>
      </c>
      <c r="B7">
        <v>1</v>
      </c>
      <c r="C7" t="s">
        <v>331</v>
      </c>
      <c r="D7">
        <v>45.6</v>
      </c>
      <c r="E7" t="s">
        <v>325</v>
      </c>
      <c r="F7" t="s">
        <v>328</v>
      </c>
      <c r="G7" t="s">
        <v>332</v>
      </c>
    </row>
    <row r="9" spans="1:7" x14ac:dyDescent="0.35">
      <c r="A9" s="1" t="s">
        <v>334</v>
      </c>
    </row>
    <row r="10" spans="1:7" x14ac:dyDescent="0.35">
      <c r="A10" t="s">
        <v>12</v>
      </c>
      <c r="B10">
        <v>9919.68</v>
      </c>
      <c r="C10" t="s">
        <v>335</v>
      </c>
      <c r="E10" t="s">
        <v>328</v>
      </c>
      <c r="F10" t="s">
        <v>336</v>
      </c>
    </row>
    <row r="11" spans="1:7" x14ac:dyDescent="0.35">
      <c r="A11" t="s">
        <v>319</v>
      </c>
      <c r="B11">
        <v>10333</v>
      </c>
      <c r="C11" t="s">
        <v>335</v>
      </c>
      <c r="E11" t="s">
        <v>328</v>
      </c>
      <c r="F11" t="s">
        <v>337</v>
      </c>
    </row>
    <row r="12" spans="1:7" x14ac:dyDescent="0.35">
      <c r="A12" t="s">
        <v>338</v>
      </c>
      <c r="B12">
        <v>109001535.3</v>
      </c>
      <c r="C12" t="s">
        <v>339</v>
      </c>
      <c r="E12" t="s">
        <v>328</v>
      </c>
      <c r="F12" t="s">
        <v>340</v>
      </c>
    </row>
    <row r="13" spans="1:7" x14ac:dyDescent="0.35">
      <c r="A13" t="s">
        <v>344</v>
      </c>
      <c r="B13">
        <v>121112817</v>
      </c>
      <c r="C13" t="s">
        <v>339</v>
      </c>
      <c r="E13" t="s">
        <v>328</v>
      </c>
      <c r="F13" t="s">
        <v>345</v>
      </c>
    </row>
    <row r="14" spans="1:7" x14ac:dyDescent="0.35">
      <c r="A14" t="s">
        <v>341</v>
      </c>
      <c r="B14">
        <v>858600</v>
      </c>
      <c r="C14" t="s">
        <v>342</v>
      </c>
      <c r="E14" t="s">
        <v>328</v>
      </c>
      <c r="F14" t="s">
        <v>343</v>
      </c>
    </row>
    <row r="15" spans="1:7" x14ac:dyDescent="0.35">
      <c r="A15" t="s">
        <v>346</v>
      </c>
      <c r="B15">
        <v>954000</v>
      </c>
      <c r="C15" t="s">
        <v>342</v>
      </c>
      <c r="E15" t="s">
        <v>328</v>
      </c>
      <c r="F15" t="s">
        <v>347</v>
      </c>
    </row>
    <row r="16" spans="1:7" x14ac:dyDescent="0.35">
      <c r="A16" t="s">
        <v>348</v>
      </c>
      <c r="B16">
        <v>2732</v>
      </c>
      <c r="C16" t="s">
        <v>349</v>
      </c>
      <c r="E16" t="s">
        <v>328</v>
      </c>
      <c r="F16" t="s">
        <v>350</v>
      </c>
    </row>
    <row r="17" spans="1:6" x14ac:dyDescent="0.35">
      <c r="A17" t="s">
        <v>351</v>
      </c>
      <c r="B17">
        <v>3163</v>
      </c>
      <c r="C17" t="s">
        <v>349</v>
      </c>
      <c r="E17" t="s">
        <v>328</v>
      </c>
      <c r="F17" t="s">
        <v>352</v>
      </c>
    </row>
    <row r="18" spans="1:6" x14ac:dyDescent="0.35">
      <c r="A18" t="s">
        <v>353</v>
      </c>
      <c r="B18">
        <v>2215</v>
      </c>
      <c r="C18" t="s">
        <v>354</v>
      </c>
      <c r="E18" t="s">
        <v>328</v>
      </c>
      <c r="F18" t="s">
        <v>355</v>
      </c>
    </row>
    <row r="19" spans="1:6" x14ac:dyDescent="0.35">
      <c r="A19" t="s">
        <v>356</v>
      </c>
      <c r="B19">
        <v>2305</v>
      </c>
      <c r="C19" t="s">
        <v>354</v>
      </c>
      <c r="E19" t="s">
        <v>328</v>
      </c>
      <c r="F19" t="s">
        <v>357</v>
      </c>
    </row>
    <row r="20" spans="1:6" x14ac:dyDescent="0.35">
      <c r="A20" t="s">
        <v>358</v>
      </c>
      <c r="B20">
        <v>46600</v>
      </c>
      <c r="C20" t="s">
        <v>360</v>
      </c>
      <c r="E20" t="s">
        <v>328</v>
      </c>
      <c r="F20" t="s">
        <v>361</v>
      </c>
    </row>
    <row r="21" spans="1:6" x14ac:dyDescent="0.35">
      <c r="A21" t="s">
        <v>359</v>
      </c>
      <c r="B21">
        <v>61100</v>
      </c>
      <c r="C21" t="s">
        <v>360</v>
      </c>
      <c r="E21" t="s">
        <v>328</v>
      </c>
      <c r="F21" t="s">
        <v>362</v>
      </c>
    </row>
    <row r="22" spans="1:6" x14ac:dyDescent="0.35">
      <c r="A22" t="s">
        <v>364</v>
      </c>
      <c r="B22">
        <v>27344</v>
      </c>
      <c r="C22" t="s">
        <v>365</v>
      </c>
      <c r="E22" t="s">
        <v>328</v>
      </c>
      <c r="F22" t="s">
        <v>367</v>
      </c>
    </row>
    <row r="23" spans="1:6" x14ac:dyDescent="0.35">
      <c r="A23" t="s">
        <v>366</v>
      </c>
      <c r="B23">
        <v>31282</v>
      </c>
      <c r="C23" t="s">
        <v>365</v>
      </c>
      <c r="E23" t="s">
        <v>328</v>
      </c>
      <c r="F23" t="s">
        <v>368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C63F55508EB342A23ABD4979AF09B1" ma:contentTypeVersion="11" ma:contentTypeDescription="Crée un document." ma:contentTypeScope="" ma:versionID="c75a781a72a9a5d09471cbc173a29895">
  <xsd:schema xmlns:xsd="http://www.w3.org/2001/XMLSchema" xmlns:xs="http://www.w3.org/2001/XMLSchema" xmlns:p="http://schemas.microsoft.com/office/2006/metadata/properties" xmlns:ns2="e5e725d4-bd8a-434d-bcd2-46d186bc91b0" xmlns:ns3="62946118-5c43-4491-8545-878801c0f033" targetNamespace="http://schemas.microsoft.com/office/2006/metadata/properties" ma:root="true" ma:fieldsID="bfb6778bf68cfd8ce722ecf7ee141cbe" ns2:_="" ns3:_="">
    <xsd:import namespace="e5e725d4-bd8a-434d-bcd2-46d186bc91b0"/>
    <xsd:import namespace="62946118-5c43-4491-8545-878801c0f0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725d4-bd8a-434d-bcd2-46d186bc91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46118-5c43-4491-8545-878801c0f03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43e0fe5-9248-403e-a648-4222caec518a}" ma:internalName="TaxCatchAll" ma:showField="CatchAllData" ma:web="62946118-5c43-4491-8545-878801c0f0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e725d4-bd8a-434d-bcd2-46d186bc91b0">
      <Terms xmlns="http://schemas.microsoft.com/office/infopath/2007/PartnerControls"/>
    </lcf76f155ced4ddcb4097134ff3c332f>
    <TaxCatchAll xmlns="62946118-5c43-4491-8545-878801c0f033" xsi:nil="true"/>
  </documentManagement>
</p:properties>
</file>

<file path=customXml/itemProps1.xml><?xml version="1.0" encoding="utf-8"?>
<ds:datastoreItem xmlns:ds="http://schemas.openxmlformats.org/officeDocument/2006/customXml" ds:itemID="{A6DD8445-35E6-4B5D-A366-8713BE9392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DAF099-95BD-42DD-830F-274257CA0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e725d4-bd8a-434d-bcd2-46d186bc91b0"/>
    <ds:schemaRef ds:uri="62946118-5c43-4491-8545-878801c0f0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3557D2-E562-4B48-9A7B-2FC6559A693E}">
  <ds:schemaRefs>
    <ds:schemaRef ds:uri="http://schemas.microsoft.com/office/infopath/2007/PartnerControls"/>
    <ds:schemaRef ds:uri="62946118-5c43-4491-8545-878801c0f033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e5e725d4-bd8a-434d-bcd2-46d186bc91b0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EnergyIntensity_Cu</vt:lpstr>
      <vt:lpstr>ProductionData_Processed</vt:lpstr>
      <vt:lpstr>EnergyData_Processed</vt:lpstr>
      <vt:lpstr>RawData</vt:lpstr>
      <vt:lpstr>Parameters</vt:lpstr>
    </vt:vector>
  </TitlesOfParts>
  <Company>BRGM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Frederic</dc:creator>
  <cp:lastModifiedBy>Lai Frederic</cp:lastModifiedBy>
  <dcterms:created xsi:type="dcterms:W3CDTF">2026-02-25T12:36:45Z</dcterms:created>
  <dcterms:modified xsi:type="dcterms:W3CDTF">2026-03-27T13:40:07Z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0x0101005DC63F55508EB342A23ABD4979AF09B1</vt:lpwstr>
  </property>
  <property fmtid="{D5CDD505-2E9C-101B-9397-08002B2CF9AE}" pid="3" name="MediaServiceImageTags">
    <vt:lpwstr/>
  </property>
</Properties>
</file>